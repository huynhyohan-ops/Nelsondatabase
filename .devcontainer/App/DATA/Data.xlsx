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9bc970392b357c/Desktop/2. Areas/PricingSystem/App/DATA/"/>
    </mc:Choice>
  </mc:AlternateContent>
  <xr:revisionPtr revIDLastSave="8" documentId="8_{C71FDDB6-AC69-4C2F-A664-94CA1F6D7AA7}" xr6:coauthVersionLast="47" xr6:coauthVersionMax="47" xr10:uidLastSave="{DE91B2CE-942F-47CC-995D-F27CC0954A82}"/>
  <bookViews>
    <workbookView xWindow="-120" yWindow="-120" windowWidth="29040" windowHeight="15720" activeTab="4" xr2:uid="{158C7948-0842-4718-9D57-30F675039577}"/>
  </bookViews>
  <sheets>
    <sheet name="MAY 2025" sheetId="1" r:id="rId1"/>
    <sheet name="JUN 2025" sheetId="2" r:id="rId2"/>
    <sheet name="JUL 2025" sheetId="3" r:id="rId3"/>
    <sheet name="AUG 2025" sheetId="4" r:id="rId4"/>
    <sheet name="SEP 2025" sheetId="5" r:id="rId5"/>
    <sheet name="OCT 2025" sheetId="6" r:id="rId6"/>
    <sheet name="NOV 2025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5" l="1"/>
  <c r="W8" i="5"/>
  <c r="V8" i="5"/>
  <c r="U8" i="5"/>
  <c r="T8" i="5"/>
  <c r="S8" i="5"/>
  <c r="R8" i="5"/>
  <c r="P8" i="5"/>
  <c r="O8" i="5"/>
  <c r="N8" i="5"/>
  <c r="M8" i="5"/>
  <c r="L8" i="5"/>
  <c r="X20" i="7"/>
  <c r="W20" i="7"/>
  <c r="V20" i="7"/>
  <c r="U20" i="7"/>
  <c r="T20" i="7"/>
  <c r="S20" i="7"/>
  <c r="R20" i="7"/>
  <c r="P20" i="7"/>
  <c r="O20" i="7"/>
  <c r="N20" i="7"/>
  <c r="M20" i="7"/>
  <c r="L20" i="7"/>
  <c r="X13" i="6"/>
  <c r="W13" i="6"/>
  <c r="V13" i="6"/>
  <c r="U13" i="6"/>
  <c r="T13" i="6"/>
  <c r="S13" i="6"/>
  <c r="R13" i="6"/>
  <c r="P13" i="6"/>
  <c r="O13" i="6"/>
  <c r="N13" i="6"/>
  <c r="M13" i="6"/>
  <c r="L13" i="6"/>
  <c r="X16" i="4"/>
  <c r="W16" i="4"/>
  <c r="V16" i="4"/>
  <c r="U16" i="4"/>
  <c r="T16" i="4"/>
  <c r="S16" i="4"/>
  <c r="R16" i="4"/>
  <c r="P16" i="4"/>
  <c r="O16" i="4"/>
  <c r="N16" i="4"/>
  <c r="M16" i="4"/>
  <c r="L16" i="4"/>
  <c r="X22" i="3"/>
  <c r="W22" i="3"/>
  <c r="V22" i="3"/>
  <c r="U22" i="3"/>
  <c r="T22" i="3"/>
  <c r="S22" i="3"/>
  <c r="R22" i="3"/>
  <c r="P22" i="3"/>
  <c r="O22" i="3"/>
  <c r="N22" i="3"/>
  <c r="M22" i="3"/>
  <c r="X37" i="2"/>
  <c r="W37" i="2"/>
  <c r="V37" i="2"/>
  <c r="U37" i="2"/>
  <c r="T37" i="2"/>
  <c r="S37" i="2"/>
  <c r="R37" i="2"/>
  <c r="P37" i="2"/>
  <c r="O37" i="2"/>
  <c r="N37" i="2"/>
  <c r="M37" i="2"/>
  <c r="X16" i="1"/>
  <c r="W16" i="1"/>
  <c r="V16" i="1"/>
  <c r="U16" i="1"/>
  <c r="T16" i="1"/>
  <c r="S16" i="1"/>
  <c r="R16" i="1"/>
  <c r="P16" i="1"/>
  <c r="M16" i="1"/>
</calcChain>
</file>

<file path=xl/sharedStrings.xml><?xml version="1.0" encoding="utf-8"?>
<sst xmlns="http://schemas.openxmlformats.org/spreadsheetml/2006/main" count="843" uniqueCount="308">
  <si>
    <t>No</t>
  </si>
  <si>
    <t>SHIPPER/
CONSIGNEE</t>
  </si>
  <si>
    <t>POL/POD</t>
  </si>
  <si>
    <t>FINAL DEST</t>
  </si>
  <si>
    <t>ETD</t>
  </si>
  <si>
    <t>ETA</t>
  </si>
  <si>
    <t>CARRIER/
COLOADER</t>
  </si>
  <si>
    <t>HBL</t>
  </si>
  <si>
    <t>JOB NO</t>
  </si>
  <si>
    <t xml:space="preserve">Volume </t>
  </si>
  <si>
    <t xml:space="preserve">Buying </t>
  </si>
  <si>
    <t>Selling</t>
  </si>
  <si>
    <t>Profit
Share</t>
  </si>
  <si>
    <t>KICK BACK</t>
  </si>
  <si>
    <t>Net
Profit</t>
  </si>
  <si>
    <t>AIR</t>
  </si>
  <si>
    <t>LCL</t>
  </si>
  <si>
    <t>20RF</t>
  </si>
  <si>
    <t>20'</t>
  </si>
  <si>
    <t>40'</t>
  </si>
  <si>
    <t>HC</t>
  </si>
  <si>
    <t>40RF</t>
  </si>
  <si>
    <t>Client</t>
  </si>
  <si>
    <t>Carrier</t>
  </si>
  <si>
    <t>Tax</t>
  </si>
  <si>
    <t>WOODPECKER LUMBER</t>
  </si>
  <si>
    <t>HCM</t>
  </si>
  <si>
    <t>SEATTLE</t>
  </si>
  <si>
    <t>UWL</t>
  </si>
  <si>
    <t>PPSEA2505162</t>
  </si>
  <si>
    <t>SE2505/0166</t>
  </si>
  <si>
    <t>PPSEA2505163</t>
  </si>
  <si>
    <t>SE2505/0167</t>
  </si>
  <si>
    <t>PANDA HN</t>
  </si>
  <si>
    <t>HPH</t>
  </si>
  <si>
    <t>CHARLESTON, SC</t>
  </si>
  <si>
    <t>HPL</t>
  </si>
  <si>
    <t>PPCHS2505916</t>
  </si>
  <si>
    <t>SE2505/0348</t>
  </si>
  <si>
    <t>PT FOOD</t>
  </si>
  <si>
    <t>OAKLAND,CA</t>
  </si>
  <si>
    <t>ONE HCM</t>
  </si>
  <si>
    <t>PPOAK2505975</t>
  </si>
  <si>
    <t>SE2505/0410</t>
  </si>
  <si>
    <t>PPSEA2505976</t>
  </si>
  <si>
    <t>SE2505/0411</t>
  </si>
  <si>
    <t>PPSEA2505016</t>
  </si>
  <si>
    <t>SE2505/0442</t>
  </si>
  <si>
    <t>CREATIVE/NELSON</t>
  </si>
  <si>
    <t>CHICAGO,IL USA</t>
  </si>
  <si>
    <t>ONE HPH</t>
  </si>
  <si>
    <t>PCHI25050437</t>
  </si>
  <si>
    <t>SE2505/0735</t>
  </si>
  <si>
    <t>HML</t>
  </si>
  <si>
    <t>MEMPHIS,TN</t>
  </si>
  <si>
    <t>PMEM25050438</t>
  </si>
  <si>
    <t>SE2505/0736</t>
  </si>
  <si>
    <t>PANDA HCM</t>
  </si>
  <si>
    <t>SAINT LOUIS, MO</t>
  </si>
  <si>
    <t>PSTL25050439</t>
  </si>
  <si>
    <t>SE2505/0737</t>
  </si>
  <si>
    <t>NAFOODS</t>
  </si>
  <si>
    <t>YML</t>
  </si>
  <si>
    <t>POAK25050441</t>
  </si>
  <si>
    <t>SE2505/0739</t>
  </si>
  <si>
    <t>POAK25050442</t>
  </si>
  <si>
    <t>SE2505/0740</t>
  </si>
  <si>
    <t>SIRI</t>
  </si>
  <si>
    <t>EL PASO, TX,US</t>
  </si>
  <si>
    <t>PELP25050505</t>
  </si>
  <si>
    <t>SE2505/0803</t>
  </si>
  <si>
    <t>KANSAS CITY</t>
  </si>
  <si>
    <t>PMKC25050499</t>
  </si>
  <si>
    <t>SE2505/0797</t>
  </si>
  <si>
    <t>-</t>
  </si>
  <si>
    <t>NEW YORK, NY USA</t>
  </si>
  <si>
    <t>PNYC25060062</t>
  </si>
  <si>
    <t>SE2506/0064</t>
  </si>
  <si>
    <t>PNYC25060063</t>
  </si>
  <si>
    <t>SE2506/0065</t>
  </si>
  <si>
    <t>PNYC25060064</t>
  </si>
  <si>
    <t>SE2506/0066</t>
  </si>
  <si>
    <t>POAK25060070</t>
  </si>
  <si>
    <t>SE2506/0072</t>
  </si>
  <si>
    <t>TACOMA, WA ,USA</t>
  </si>
  <si>
    <t>PTIW25060096</t>
  </si>
  <si>
    <t>SE2506/0098</t>
  </si>
  <si>
    <t>PTIW25060120</t>
  </si>
  <si>
    <t>SE2506/0121</t>
  </si>
  <si>
    <t>PSEA25060083</t>
  </si>
  <si>
    <t>SE2506/0085</t>
  </si>
  <si>
    <t>PSEA25060084</t>
  </si>
  <si>
    <t>SE2506/0087</t>
  </si>
  <si>
    <t>PELP25060351</t>
  </si>
  <si>
    <t>SE2506/0355</t>
  </si>
  <si>
    <t>KANSAS CITY, KS</t>
  </si>
  <si>
    <t>CMA CGM</t>
  </si>
  <si>
    <t>PMKC25060352</t>
  </si>
  <si>
    <t>SE2506/0356</t>
  </si>
  <si>
    <t>PANDA BN</t>
  </si>
  <si>
    <t>PCHI25060415</t>
  </si>
  <si>
    <t>SE2506/0422</t>
  </si>
  <si>
    <t>LOS ANGELES, CA USA</t>
  </si>
  <si>
    <t>WHL</t>
  </si>
  <si>
    <t>PLAX25060512</t>
  </si>
  <si>
    <t>SE2506/0519</t>
  </si>
  <si>
    <t>ACT LOG</t>
  </si>
  <si>
    <t>PCHI25060538</t>
  </si>
  <si>
    <t>SE2506/0548</t>
  </si>
  <si>
    <t>PSEA25060514</t>
  </si>
  <si>
    <t>SE2506/0521</t>
  </si>
  <si>
    <t>ONE</t>
  </si>
  <si>
    <t>PNYC25060515</t>
  </si>
  <si>
    <t>SE2506/0522</t>
  </si>
  <si>
    <t>BALTIMORE, MD, USA</t>
  </si>
  <si>
    <t>HPL/HCM</t>
  </si>
  <si>
    <t>PBAL25060553</t>
  </si>
  <si>
    <t>SE2506/0564</t>
  </si>
  <si>
    <t>JACKSONVILLE, FL,US</t>
  </si>
  <si>
    <t>PJAX25060552</t>
  </si>
  <si>
    <t>SE2506/0563</t>
  </si>
  <si>
    <t>PMKC25060540</t>
  </si>
  <si>
    <t>SE2506/0550</t>
  </si>
  <si>
    <t>COSCO</t>
  </si>
  <si>
    <t>PLAX25060643</t>
  </si>
  <si>
    <t>SE2506/0655</t>
  </si>
  <si>
    <t>MIAMI , FL,US</t>
  </si>
  <si>
    <t>ZIM</t>
  </si>
  <si>
    <t>PMIA25060700</t>
  </si>
  <si>
    <t>SE2506/0719</t>
  </si>
  <si>
    <t>PMIA25060701</t>
  </si>
  <si>
    <t>SE2506/0720</t>
  </si>
  <si>
    <t>PNYC25060644</t>
  </si>
  <si>
    <t>SE2506/0656</t>
  </si>
  <si>
    <t>PNYC25060647</t>
  </si>
  <si>
    <t>SE2506/0659</t>
  </si>
  <si>
    <t>PNYC25060648</t>
  </si>
  <si>
    <t>SE2506/0660</t>
  </si>
  <si>
    <t>PNYC25060652</t>
  </si>
  <si>
    <t>SE2506/0664</t>
  </si>
  <si>
    <t>PNYC25060703</t>
  </si>
  <si>
    <t>SE2506/0722</t>
  </si>
  <si>
    <t>PNYC25060704</t>
  </si>
  <si>
    <t>SE2506/0723</t>
  </si>
  <si>
    <t>PNYC25060706</t>
  </si>
  <si>
    <t>SE2506/0725</t>
  </si>
  <si>
    <t>PNYC25060708</t>
  </si>
  <si>
    <t>SE2506/0727</t>
  </si>
  <si>
    <t>PNYC25060709</t>
  </si>
  <si>
    <t>SE2506/0728</t>
  </si>
  <si>
    <t>VANCOUVER,CANADA</t>
  </si>
  <si>
    <t>PVAN25060705</t>
  </si>
  <si>
    <t>SE2506/0724</t>
  </si>
  <si>
    <t>PNYC25060759</t>
  </si>
  <si>
    <t>SE2506/0783</t>
  </si>
  <si>
    <t>PNYC25060767</t>
  </si>
  <si>
    <t>SE2506/0791</t>
  </si>
  <si>
    <t>PNYC25060770</t>
  </si>
  <si>
    <t>SE2506/0794</t>
  </si>
  <si>
    <t>TORONTO, CA</t>
  </si>
  <si>
    <t>PYYZ25070004</t>
  </si>
  <si>
    <t>SE2507/0005</t>
  </si>
  <si>
    <t>PNYC25070059</t>
  </si>
  <si>
    <t>SE2507/0060</t>
  </si>
  <si>
    <t>PNYC25070060</t>
  </si>
  <si>
    <t>SE2507/0061</t>
  </si>
  <si>
    <t>PNYC25070061</t>
  </si>
  <si>
    <t>SE2507/0062</t>
  </si>
  <si>
    <t>PNYC25070062</t>
  </si>
  <si>
    <t>SE2507/0063</t>
  </si>
  <si>
    <t>PNYC25070064</t>
  </si>
  <si>
    <t>SE2507/0065</t>
  </si>
  <si>
    <t>NTL</t>
  </si>
  <si>
    <t>PLAX25070058</t>
  </si>
  <si>
    <t>SE2507/0059</t>
  </si>
  <si>
    <t>LCB</t>
  </si>
  <si>
    <t>DETROIT, MI</t>
  </si>
  <si>
    <t>PDET25070207</t>
  </si>
  <si>
    <t>SE2507/0207</t>
  </si>
  <si>
    <t>TORONTO, CANADA</t>
  </si>
  <si>
    <t>PYTO25070145</t>
  </si>
  <si>
    <t>SE2507/0145</t>
  </si>
  <si>
    <t>PTIW25070184</t>
  </si>
  <si>
    <t>SE2507/0184</t>
  </si>
  <si>
    <t>PMKC25070186</t>
  </si>
  <si>
    <t>SE2507/0186</t>
  </si>
  <si>
    <t>MINNEAPOLIS, MN, USA</t>
  </si>
  <si>
    <t>PMES25070067</t>
  </si>
  <si>
    <t>SE2507/0068</t>
  </si>
  <si>
    <t>SAVANNAH,GA, USA</t>
  </si>
  <si>
    <t>PSAV25070346</t>
  </si>
  <si>
    <t>SE2507/0359</t>
  </si>
  <si>
    <t>PMKC25070413</t>
  </si>
  <si>
    <t>SE2507/0431</t>
  </si>
  <si>
    <t>PSEA25070400</t>
  </si>
  <si>
    <t>SE2507/0413</t>
  </si>
  <si>
    <t>PSEA25070401</t>
  </si>
  <si>
    <t>SE2507/0414</t>
  </si>
  <si>
    <t>PYTO25070738</t>
  </si>
  <si>
    <t>SE2507/0788</t>
  </si>
  <si>
    <t>PSEA25070538</t>
  </si>
  <si>
    <t>SE2507/0571</t>
  </si>
  <si>
    <t>PSEA25070740</t>
  </si>
  <si>
    <t>SE2507/0790</t>
  </si>
  <si>
    <t>PMKC25080067</t>
  </si>
  <si>
    <t>SE2508/0067</t>
  </si>
  <si>
    <t>PSAV25080068</t>
  </si>
  <si>
    <t>SE2508/0068</t>
  </si>
  <si>
    <t>NEW YORK, NY</t>
  </si>
  <si>
    <t>PNYC25080257</t>
  </si>
  <si>
    <t>SE2508/0263</t>
  </si>
  <si>
    <t>PMKC25080264</t>
  </si>
  <si>
    <t>SE2508/0270</t>
  </si>
  <si>
    <t>STARPOLY // NELSON</t>
  </si>
  <si>
    <t>CAUCEDO</t>
  </si>
  <si>
    <t>PCAU25080252</t>
  </si>
  <si>
    <t>SE2508/0258</t>
  </si>
  <si>
    <t>PSEA25080175</t>
  </si>
  <si>
    <t>SE2508/0175</t>
  </si>
  <si>
    <t>PSEA25080234</t>
  </si>
  <si>
    <t>SE2508/0240</t>
  </si>
  <si>
    <t>PSEA25080235</t>
  </si>
  <si>
    <t>SE2508/0241</t>
  </si>
  <si>
    <t>SAN JUAN</t>
  </si>
  <si>
    <t>PSJU25080522</t>
  </si>
  <si>
    <t>SE2508/0533</t>
  </si>
  <si>
    <t>PYTO25080518</t>
  </si>
  <si>
    <t>SE2508/0529</t>
  </si>
  <si>
    <t>PTIW25080581</t>
  </si>
  <si>
    <t>SE2508/0591</t>
  </si>
  <si>
    <t>PSEA25080579</t>
  </si>
  <si>
    <t>SE2508/0589</t>
  </si>
  <si>
    <t>HOUSTON,TX, USA</t>
  </si>
  <si>
    <t>PHOU25080656</t>
  </si>
  <si>
    <t>SE2508/0671</t>
  </si>
  <si>
    <t>PSAV25100074</t>
  </si>
  <si>
    <t xml:space="preserve">PANDA HN </t>
  </si>
  <si>
    <t>PCHS25100142</t>
  </si>
  <si>
    <t>PNYC25100107</t>
  </si>
  <si>
    <t>PYYZ25100347</t>
  </si>
  <si>
    <t>DENVER,CO,USA</t>
  </si>
  <si>
    <t>PDEN25100492</t>
  </si>
  <si>
    <t>PDEN25100494</t>
  </si>
  <si>
    <t>PCHS25100526</t>
  </si>
  <si>
    <t>PSEA25100589</t>
  </si>
  <si>
    <t>PSEA25100634</t>
  </si>
  <si>
    <t>PHOU25100749</t>
  </si>
  <si>
    <t xml:space="preserve">PANDA HAI PHONG </t>
  </si>
  <si>
    <t>PLAX25110195</t>
  </si>
  <si>
    <t>SE2511/0198</t>
  </si>
  <si>
    <t xml:space="preserve">MEKONG SEAFOOD </t>
  </si>
  <si>
    <t>EDMONTON,AB,CANADA</t>
  </si>
  <si>
    <t>CMA</t>
  </si>
  <si>
    <t>PEDM25110256</t>
  </si>
  <si>
    <t>SE2511/0261</t>
  </si>
  <si>
    <t>VTU</t>
  </si>
  <si>
    <t>ROTTERDAM</t>
  </si>
  <si>
    <t>PRTM25110361</t>
  </si>
  <si>
    <t>SE2511/0367</t>
  </si>
  <si>
    <t xml:space="preserve">WOODPECKER LUMBER </t>
  </si>
  <si>
    <t>PSEA25110234</t>
  </si>
  <si>
    <t>SE2511/0239</t>
  </si>
  <si>
    <t>PSEA25110235</t>
  </si>
  <si>
    <t>SE2511/0240</t>
  </si>
  <si>
    <t>PSEA25110236</t>
  </si>
  <si>
    <t>SE2511/0241</t>
  </si>
  <si>
    <t>PSEA25110237</t>
  </si>
  <si>
    <t>SE2511/0242</t>
  </si>
  <si>
    <t>PSEA25110238</t>
  </si>
  <si>
    <t>SE2511/0243</t>
  </si>
  <si>
    <t xml:space="preserve">HML </t>
  </si>
  <si>
    <t>PDEN25110422</t>
  </si>
  <si>
    <t>SE2511/0428</t>
  </si>
  <si>
    <t>PDEN25110439</t>
  </si>
  <si>
    <t>SE2511/0446</t>
  </si>
  <si>
    <t>VNCMT</t>
  </si>
  <si>
    <t>YANGMING</t>
  </si>
  <si>
    <t>PNYC25110454</t>
  </si>
  <si>
    <t>SE2511/0461</t>
  </si>
  <si>
    <t>PYYZ25110469</t>
  </si>
  <si>
    <t>SE2511/0476</t>
  </si>
  <si>
    <t xml:space="preserve">PANDA HCM </t>
  </si>
  <si>
    <t>PLAX25110558</t>
  </si>
  <si>
    <t>SE2511/0565</t>
  </si>
  <si>
    <t>ADELAIDE</t>
  </si>
  <si>
    <t>MSC</t>
  </si>
  <si>
    <t>MEDUKE014924</t>
  </si>
  <si>
    <t>SE2511/0732</t>
  </si>
  <si>
    <t>PSEA25110547</t>
  </si>
  <si>
    <t>SE2511/0554</t>
  </si>
  <si>
    <t>PSEA25110548</t>
  </si>
  <si>
    <t>SE2511/0555</t>
  </si>
  <si>
    <t>PCHS25110620</t>
  </si>
  <si>
    <t>SE2511/0637</t>
  </si>
  <si>
    <t>PLAX25090142</t>
  </si>
  <si>
    <t>SE2509/0141</t>
  </si>
  <si>
    <t>ABC</t>
  </si>
  <si>
    <t>MOBILE</t>
  </si>
  <si>
    <t>MAERSK</t>
  </si>
  <si>
    <t>PMOB25090234</t>
  </si>
  <si>
    <t>SE2509/0236</t>
  </si>
  <si>
    <t>PTIW25090377</t>
  </si>
  <si>
    <t>SE2509/0381</t>
  </si>
  <si>
    <t>PTIW25090378</t>
  </si>
  <si>
    <t>SE2509/0382</t>
  </si>
  <si>
    <t>Nafood Group</t>
  </si>
  <si>
    <t>PNYC25090597</t>
  </si>
  <si>
    <t>SE2509/0604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</si>
</sst>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[$-409]d\-mmm\-yy;@"/>
    <numFmt numFmtId="167" formatCode="#,##0.000"/>
    <numFmt numFmtId="168" formatCode="#,##0.0"/>
    <numFmt numFmtId="169" formatCode="[$-409]d\-mmm;@"/>
    <numFmt numFmtId="170" formatCode="[$-409]dd\-mmm\-yy;@"/>
    <numFmt numFmtId="171" formatCode="[$-409]d\-mmm\-yyyy;@"/>
  </numFmts>
  <fonts count="24">
    <font>
      <sz val="10"/>
      <name val="Arial"/>
      <charset val="134"/>
    </font>
    <font>
      <sz val="11"/>
      <color theme="1"/>
      <name val="Calibri"/>
      <family val="2"/>
      <scheme val="minor"/>
    </font>
    <font>
      <b/>
      <sz val="11"/>
      <color indexed="18"/>
      <name val="Calibri"/>
      <family val="2"/>
      <charset val="163"/>
    </font>
    <font>
      <sz val="10"/>
      <name val="Arial"/>
      <family val="2"/>
      <charset val="163"/>
    </font>
    <font>
      <b/>
      <sz val="11"/>
      <name val="Calibri"/>
      <family val="2"/>
      <charset val="163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  <charset val="163"/>
    </font>
    <font>
      <b/>
      <i/>
      <sz val="11"/>
      <color indexed="8"/>
      <name val="Calibri"/>
      <family val="2"/>
      <charset val="163"/>
    </font>
    <font>
      <sz val="11"/>
      <name val="Calibri"/>
      <family val="2"/>
      <charset val="163"/>
    </font>
    <font>
      <i/>
      <sz val="11"/>
      <color indexed="8"/>
      <name val="Calibri"/>
      <family val="2"/>
      <charset val="163"/>
    </font>
    <font>
      <b/>
      <sz val="11"/>
      <color indexed="8"/>
      <name val="Calibri"/>
      <family val="2"/>
      <charset val="163"/>
    </font>
    <font>
      <sz val="11"/>
      <color rgb="FF000000"/>
      <name val="Aptos Narrow"/>
      <family val="2"/>
    </font>
    <font>
      <sz val="10"/>
      <color theme="1"/>
      <name val="Arial"/>
      <charset val="134"/>
    </font>
    <font>
      <b/>
      <sz val="11"/>
      <color rgb="FFFF000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indexed="18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  <font>
      <sz val="11"/>
      <color rgb="FF000000"/>
      <name val="Aptos Narrow"/>
    </font>
    <font>
      <sz val="11"/>
      <color rgb="FF000000"/>
      <name val="Calibri"/>
    </font>
    <font>
      <b/>
      <i/>
      <sz val="11"/>
      <color indexed="8"/>
      <name val="Calibri"/>
      <charset val="134"/>
    </font>
    <font>
      <sz val="11"/>
      <name val="Calibri"/>
      <charset val="134"/>
    </font>
    <font>
      <i/>
      <sz val="11"/>
      <color indexed="8"/>
      <name val="Calibri"/>
      <charset val="134"/>
    </font>
    <font>
      <b/>
      <sz val="11"/>
      <color indexed="8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</cellStyleXfs>
  <cellXfs count="139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 applyProtection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1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vertical="top"/>
    </xf>
    <xf numFmtId="3" fontId="6" fillId="4" borderId="1" xfId="0" applyNumberFormat="1" applyFont="1" applyFill="1" applyBorder="1" applyAlignment="1">
      <alignment horizontal="center" vertical="center"/>
    </xf>
    <xf numFmtId="168" fontId="6" fillId="4" borderId="1" xfId="0" applyNumberFormat="1" applyFont="1" applyFill="1" applyBorder="1" applyAlignment="1">
      <alignment horizontal="center" vertical="center"/>
    </xf>
    <xf numFmtId="168" fontId="5" fillId="4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top"/>
    </xf>
    <xf numFmtId="0" fontId="6" fillId="0" borderId="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167" fontId="6" fillId="0" borderId="3" xfId="0" applyNumberFormat="1" applyFont="1" applyBorder="1" applyAlignment="1">
      <alignment vertical="top"/>
    </xf>
    <xf numFmtId="167" fontId="6" fillId="0" borderId="3" xfId="0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5" fontId="10" fillId="2" borderId="1" xfId="1" applyNumberFormat="1" applyFont="1" applyFill="1" applyBorder="1" applyAlignment="1">
      <alignment horizontal="center" vertical="center"/>
    </xf>
    <xf numFmtId="4" fontId="10" fillId="2" borderId="1" xfId="1" applyNumberFormat="1" applyFont="1" applyFill="1" applyBorder="1" applyAlignment="1">
      <alignment horizontal="center" vertical="center"/>
    </xf>
    <xf numFmtId="3" fontId="10" fillId="2" borderId="1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9" fontId="11" fillId="0" borderId="1" xfId="0" applyNumberFormat="1" applyFont="1" applyBorder="1" applyAlignment="1">
      <alignment horizontal="center" vertical="center"/>
    </xf>
    <xf numFmtId="169" fontId="11" fillId="0" borderId="2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5" fontId="2" fillId="3" borderId="1" xfId="1" applyNumberFormat="1" applyFont="1" applyFill="1" applyBorder="1" applyAlignment="1" applyProtection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/>
    </xf>
    <xf numFmtId="1" fontId="4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7" fontId="11" fillId="0" borderId="1" xfId="0" applyNumberFormat="1" applyFont="1" applyBorder="1" applyAlignment="1">
      <alignment horizontal="center" vertical="top"/>
    </xf>
    <xf numFmtId="169" fontId="11" fillId="0" borderId="3" xfId="0" applyNumberFormat="1" applyFont="1" applyBorder="1" applyAlignment="1">
      <alignment horizontal="center" vertical="center"/>
    </xf>
    <xf numFmtId="169" fontId="11" fillId="0" borderId="4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top"/>
    </xf>
    <xf numFmtId="167" fontId="11" fillId="0" borderId="3" xfId="0" applyNumberFormat="1" applyFont="1" applyBorder="1" applyAlignment="1">
      <alignment horizontal="center" vertical="top"/>
    </xf>
    <xf numFmtId="170" fontId="6" fillId="0" borderId="1" xfId="0" applyNumberFormat="1" applyFont="1" applyBorder="1" applyAlignment="1">
      <alignment vertical="top"/>
    </xf>
    <xf numFmtId="170" fontId="6" fillId="0" borderId="2" xfId="0" applyNumberFormat="1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167" fontId="11" fillId="0" borderId="1" xfId="0" applyNumberFormat="1" applyFont="1" applyBorder="1" applyAlignment="1">
      <alignment vertical="top"/>
    </xf>
    <xf numFmtId="168" fontId="11" fillId="4" borderId="1" xfId="0" applyNumberFormat="1" applyFont="1" applyFill="1" applyBorder="1" applyAlignment="1">
      <alignment vertical="top"/>
    </xf>
    <xf numFmtId="170" fontId="6" fillId="0" borderId="3" xfId="0" applyNumberFormat="1" applyFont="1" applyBorder="1" applyAlignment="1">
      <alignment vertical="top"/>
    </xf>
    <xf numFmtId="170" fontId="6" fillId="0" borderId="4" xfId="0" applyNumberFormat="1" applyFont="1" applyBorder="1" applyAlignment="1">
      <alignment vertical="top"/>
    </xf>
    <xf numFmtId="0" fontId="11" fillId="0" borderId="3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167" fontId="11" fillId="0" borderId="3" xfId="0" applyNumberFormat="1" applyFont="1" applyBorder="1" applyAlignment="1">
      <alignment vertical="top"/>
    </xf>
    <xf numFmtId="168" fontId="11" fillId="4" borderId="3" xfId="0" applyNumberFormat="1" applyFont="1" applyFill="1" applyBorder="1" applyAlignment="1">
      <alignment vertical="top"/>
    </xf>
    <xf numFmtId="169" fontId="11" fillId="0" borderId="1" xfId="0" applyNumberFormat="1" applyFont="1" applyBorder="1" applyAlignment="1">
      <alignment horizontal="center" vertical="top"/>
    </xf>
    <xf numFmtId="169" fontId="11" fillId="0" borderId="2" xfId="0" applyNumberFormat="1" applyFont="1" applyBorder="1" applyAlignment="1">
      <alignment horizontal="center" vertical="top"/>
    </xf>
    <xf numFmtId="0" fontId="11" fillId="0" borderId="2" xfId="0" applyFont="1" applyBorder="1" applyAlignment="1">
      <alignment horizontal="center" vertical="center"/>
    </xf>
    <xf numFmtId="168" fontId="11" fillId="4" borderId="1" xfId="0" applyNumberFormat="1" applyFont="1" applyFill="1" applyBorder="1" applyAlignment="1">
      <alignment horizontal="center" vertical="top"/>
    </xf>
    <xf numFmtId="168" fontId="11" fillId="4" borderId="3" xfId="0" applyNumberFormat="1" applyFont="1" applyFill="1" applyBorder="1" applyAlignment="1">
      <alignment horizontal="center" vertical="top"/>
    </xf>
    <xf numFmtId="169" fontId="11" fillId="0" borderId="3" xfId="0" applyNumberFormat="1" applyFont="1" applyBorder="1" applyAlignment="1">
      <alignment horizontal="center" vertical="top"/>
    </xf>
    <xf numFmtId="169" fontId="11" fillId="0" borderId="4" xfId="0" applyNumberFormat="1" applyFont="1" applyBorder="1" applyAlignment="1">
      <alignment horizontal="center" vertical="top"/>
    </xf>
    <xf numFmtId="0" fontId="11" fillId="0" borderId="4" xfId="0" applyFont="1" applyBorder="1" applyAlignment="1">
      <alignment horizontal="center" vertical="center"/>
    </xf>
    <xf numFmtId="0" fontId="1" fillId="0" borderId="1" xfId="2" applyBorder="1" applyAlignment="1">
      <alignment vertical="top"/>
    </xf>
    <xf numFmtId="0" fontId="1" fillId="0" borderId="1" xfId="2" applyBorder="1" applyAlignment="1">
      <alignment horizontal="center" vertical="top"/>
    </xf>
    <xf numFmtId="166" fontId="1" fillId="0" borderId="1" xfId="2" applyNumberFormat="1" applyBorder="1" applyAlignment="1">
      <alignment horizontal="center" vertical="top"/>
    </xf>
    <xf numFmtId="0" fontId="1" fillId="0" borderId="1" xfId="2" quotePrefix="1" applyBorder="1" applyAlignment="1">
      <alignment horizontal="center" vertical="top"/>
    </xf>
    <xf numFmtId="49" fontId="2" fillId="3" borderId="3" xfId="0" applyNumberFormat="1" applyFont="1" applyFill="1" applyBorder="1" applyAlignment="1">
      <alignment horizontal="center" vertical="center" wrapText="1"/>
    </xf>
    <xf numFmtId="167" fontId="1" fillId="0" borderId="1" xfId="2" applyNumberFormat="1" applyBorder="1" applyAlignment="1">
      <alignment vertical="top"/>
    </xf>
    <xf numFmtId="2" fontId="2" fillId="3" borderId="1" xfId="1" applyNumberFormat="1" applyFont="1" applyFill="1" applyBorder="1" applyAlignment="1" applyProtection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7" fontId="1" fillId="4" borderId="1" xfId="2" applyNumberFormat="1" applyFill="1" applyBorder="1" applyAlignment="1">
      <alignment vertical="top"/>
    </xf>
    <xf numFmtId="164" fontId="2" fillId="4" borderId="3" xfId="0" applyNumberFormat="1" applyFont="1" applyFill="1" applyBorder="1" applyAlignment="1">
      <alignment horizontal="center" vertical="center"/>
    </xf>
    <xf numFmtId="167" fontId="1" fillId="0" borderId="1" xfId="2" applyNumberFormat="1" applyBorder="1" applyAlignment="1">
      <alignment horizontal="center" vertical="top"/>
    </xf>
    <xf numFmtId="1" fontId="2" fillId="3" borderId="3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" fillId="0" borderId="1" xfId="3" applyBorder="1" applyAlignment="1">
      <alignment horizontal="center" vertical="top"/>
    </xf>
    <xf numFmtId="169" fontId="1" fillId="0" borderId="1" xfId="3" applyNumberFormat="1" applyBorder="1" applyAlignment="1">
      <alignment horizontal="center" vertical="center"/>
    </xf>
    <xf numFmtId="0" fontId="1" fillId="0" borderId="1" xfId="3" quotePrefix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 vertical="center" wrapText="1"/>
    </xf>
    <xf numFmtId="167" fontId="1" fillId="0" borderId="1" xfId="3" applyNumberFormat="1" applyBorder="1" applyAlignment="1">
      <alignment horizontal="center" vertical="top"/>
    </xf>
    <xf numFmtId="2" fontId="2" fillId="3" borderId="1" xfId="1" applyNumberFormat="1" applyFont="1" applyFill="1" applyBorder="1" applyAlignment="1">
      <alignment horizontal="center" vertical="center"/>
    </xf>
    <xf numFmtId="167" fontId="1" fillId="4" borderId="1" xfId="3" applyNumberFormat="1" applyFill="1" applyBorder="1" applyAlignment="1">
      <alignment horizontal="center" vertical="top"/>
    </xf>
    <xf numFmtId="0" fontId="12" fillId="6" borderId="1" xfId="0" applyFont="1" applyFill="1" applyBorder="1" applyAlignment="1">
      <alignment horizontal="center"/>
    </xf>
    <xf numFmtId="0" fontId="1" fillId="6" borderId="1" xfId="3" applyFill="1" applyBorder="1" applyAlignment="1">
      <alignment horizontal="center" vertical="top"/>
    </xf>
    <xf numFmtId="169" fontId="1" fillId="6" borderId="1" xfId="3" applyNumberFormat="1" applyFill="1" applyBorder="1" applyAlignment="1">
      <alignment horizontal="center" vertical="center"/>
    </xf>
    <xf numFmtId="0" fontId="1" fillId="6" borderId="1" xfId="3" quotePrefix="1" applyFill="1" applyBorder="1" applyAlignment="1">
      <alignment horizontal="center" vertical="top"/>
    </xf>
    <xf numFmtId="0" fontId="1" fillId="6" borderId="1" xfId="2" applyFill="1" applyBorder="1" applyAlignment="1">
      <alignment horizontal="center" vertical="top"/>
    </xf>
    <xf numFmtId="167" fontId="1" fillId="6" borderId="1" xfId="3" applyNumberFormat="1" applyFill="1" applyBorder="1" applyAlignment="1">
      <alignment horizontal="center" vertical="top"/>
    </xf>
    <xf numFmtId="167" fontId="13" fillId="6" borderId="1" xfId="3" applyNumberFormat="1" applyFont="1" applyFill="1" applyBorder="1" applyAlignment="1">
      <alignment horizontal="center" vertical="top"/>
    </xf>
    <xf numFmtId="167" fontId="14" fillId="4" borderId="1" xfId="3" applyNumberFormat="1" applyFont="1" applyFill="1" applyBorder="1" applyAlignment="1">
      <alignment horizontal="center" vertical="top"/>
    </xf>
    <xf numFmtId="164" fontId="15" fillId="2" borderId="1" xfId="0" applyNumberFormat="1" applyFont="1" applyFill="1" applyBorder="1" applyAlignment="1">
      <alignment horizontal="center" vertical="center"/>
    </xf>
    <xf numFmtId="165" fontId="15" fillId="2" borderId="1" xfId="1" applyNumberFormat="1" applyFont="1" applyFill="1" applyBorder="1" applyAlignment="1" applyProtection="1">
      <alignment horizontal="center" vertical="center" wrapText="1"/>
    </xf>
    <xf numFmtId="2" fontId="15" fillId="2" borderId="1" xfId="0" applyNumberFormat="1" applyFont="1" applyFill="1" applyBorder="1" applyAlignment="1">
      <alignment horizontal="center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top"/>
    </xf>
    <xf numFmtId="171" fontId="18" fillId="0" borderId="3" xfId="0" applyNumberFormat="1" applyFont="1" applyBorder="1" applyAlignment="1">
      <alignment horizontal="center" vertical="top"/>
    </xf>
    <xf numFmtId="171" fontId="18" fillId="0" borderId="4" xfId="0" applyNumberFormat="1" applyFont="1" applyBorder="1" applyAlignment="1">
      <alignment horizontal="center" vertical="top"/>
    </xf>
    <xf numFmtId="165" fontId="15" fillId="3" borderId="1" xfId="1" applyNumberFormat="1" applyFont="1" applyFill="1" applyBorder="1" applyAlignment="1" applyProtection="1">
      <alignment horizontal="center" vertical="center" wrapText="1"/>
    </xf>
    <xf numFmtId="2" fontId="15" fillId="3" borderId="1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top"/>
    </xf>
    <xf numFmtId="1" fontId="15" fillId="3" borderId="1" xfId="0" applyNumberFormat="1" applyFont="1" applyFill="1" applyBorder="1" applyAlignment="1">
      <alignment horizontal="center" vertical="center"/>
    </xf>
    <xf numFmtId="167" fontId="18" fillId="0" borderId="3" xfId="0" applyNumberFormat="1" applyFont="1" applyBorder="1" applyAlignment="1">
      <alignment horizontal="center" vertical="top"/>
    </xf>
    <xf numFmtId="3" fontId="19" fillId="4" borderId="1" xfId="0" applyNumberFormat="1" applyFont="1" applyFill="1" applyBorder="1" applyAlignment="1">
      <alignment horizontal="center" vertical="center"/>
    </xf>
    <xf numFmtId="168" fontId="19" fillId="4" borderId="1" xfId="0" applyNumberFormat="1" applyFont="1" applyFill="1" applyBorder="1" applyAlignment="1">
      <alignment horizontal="center" vertical="center"/>
    </xf>
    <xf numFmtId="168" fontId="18" fillId="4" borderId="3" xfId="0" applyNumberFormat="1" applyFont="1" applyFill="1" applyBorder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0" fontId="21" fillId="5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65" fontId="23" fillId="2" borderId="1" xfId="1" applyNumberFormat="1" applyFont="1" applyFill="1" applyBorder="1" applyAlignment="1">
      <alignment horizontal="center" vertical="center"/>
    </xf>
    <xf numFmtId="4" fontId="23" fillId="2" borderId="1" xfId="1" applyNumberFormat="1" applyFont="1" applyFill="1" applyBorder="1" applyAlignment="1">
      <alignment horizontal="center" vertical="center"/>
    </xf>
    <xf numFmtId="3" fontId="23" fillId="2" borderId="1" xfId="1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 applyProtection="1">
      <alignment horizontal="center" vertical="center" wrapText="1"/>
    </xf>
    <xf numFmtId="2" fontId="2" fillId="2" borderId="1" xfId="1" applyNumberFormat="1" applyFont="1" applyFill="1" applyBorder="1" applyAlignment="1" applyProtection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 applyProtection="1">
      <alignment horizontal="center" vertical="center"/>
    </xf>
    <xf numFmtId="15" fontId="2" fillId="2" borderId="1" xfId="0" applyNumberFormat="1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2" fontId="15" fillId="2" borderId="1" xfId="1" applyNumberFormat="1" applyFont="1" applyFill="1" applyBorder="1" applyAlignment="1" applyProtection="1">
      <alignment horizontal="center" vertical="center" wrapText="1"/>
    </xf>
    <xf numFmtId="2" fontId="15" fillId="2" borderId="1" xfId="1" applyNumberFormat="1" applyFont="1" applyFill="1" applyBorder="1" applyAlignment="1" applyProtection="1">
      <alignment horizontal="center" vertical="center"/>
    </xf>
    <xf numFmtId="164" fontId="15" fillId="2" borderId="1" xfId="0" applyNumberFormat="1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2" fontId="15" fillId="2" borderId="1" xfId="0" applyNumberFormat="1" applyFont="1" applyFill="1" applyBorder="1" applyAlignment="1">
      <alignment horizontal="center" vertical="center"/>
    </xf>
    <xf numFmtId="43" fontId="15" fillId="2" borderId="1" xfId="1" applyFont="1" applyFill="1" applyBorder="1" applyAlignment="1" applyProtection="1">
      <alignment horizontal="center" vertical="center"/>
    </xf>
    <xf numFmtId="15" fontId="15" fillId="2" borderId="1" xfId="0" applyNumberFormat="1" applyFont="1" applyFill="1" applyBorder="1" applyAlignment="1">
      <alignment horizontal="center" vertical="center" wrapText="1"/>
    </xf>
    <xf numFmtId="15" fontId="15" fillId="2" borderId="1" xfId="0" applyNumberFormat="1" applyFont="1" applyFill="1" applyBorder="1" applyAlignment="1">
      <alignment horizontal="center" vertical="center"/>
    </xf>
    <xf numFmtId="15" fontId="2" fillId="2" borderId="5" xfId="0" applyNumberFormat="1" applyFont="1" applyFill="1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3" xfId="2" xr:uid="{16D298D6-C845-4467-BA55-2EC24B4B4FD2}"/>
    <cellStyle name="Normal 24" xfId="3" xr:uid="{6EC557D5-E577-42B8-BF65-3843BD627D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9840-E65B-4EE3-A98A-2A0F9D4E5704}">
  <dimension ref="A1:X16"/>
  <sheetViews>
    <sheetView zoomScale="130" zoomScaleNormal="130" workbookViewId="0">
      <selection activeCell="D29" sqref="D29"/>
    </sheetView>
  </sheetViews>
  <sheetFormatPr defaultColWidth="8.85546875" defaultRowHeight="12.75"/>
  <cols>
    <col min="1" max="1" width="4.140625" customWidth="1"/>
    <col min="2" max="2" width="22.5703125" customWidth="1"/>
    <col min="3" max="3" width="10.140625" customWidth="1"/>
    <col min="4" max="4" width="16.7109375" customWidth="1"/>
    <col min="5" max="6" width="10.7109375" customWidth="1"/>
    <col min="7" max="7" width="10" customWidth="1"/>
    <col min="8" max="8" width="15.7109375" customWidth="1"/>
    <col min="9" max="9" width="12.7109375" customWidth="1"/>
    <col min="10" max="15" width="6.28515625" customWidth="1"/>
    <col min="16" max="16" width="7.5703125" customWidth="1"/>
    <col min="17" max="17" width="6.28515625" customWidth="1"/>
    <col min="18" max="19" width="10.7109375" customWidth="1"/>
    <col min="20" max="20" width="6.28515625" customWidth="1"/>
    <col min="21" max="21" width="6.42578125" customWidth="1"/>
    <col min="22" max="22" width="9.7109375" customWidth="1"/>
    <col min="23" max="23" width="6.28515625" customWidth="1"/>
    <col min="24" max="24" width="9.7109375" customWidth="1"/>
  </cols>
  <sheetData>
    <row r="1" spans="1:24" ht="15">
      <c r="A1" s="120" t="s">
        <v>0</v>
      </c>
      <c r="B1" s="123" t="s">
        <v>1</v>
      </c>
      <c r="C1" s="119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6" t="s">
        <v>7</v>
      </c>
      <c r="I1" s="116" t="s">
        <v>8</v>
      </c>
      <c r="J1" s="120" t="s">
        <v>9</v>
      </c>
      <c r="K1" s="120"/>
      <c r="L1" s="120"/>
      <c r="M1" s="120"/>
      <c r="N1" s="120"/>
      <c r="O1" s="120"/>
      <c r="P1" s="120"/>
      <c r="Q1" s="120"/>
      <c r="R1" s="121" t="s">
        <v>10</v>
      </c>
      <c r="S1" s="122" t="s">
        <v>11</v>
      </c>
      <c r="T1" s="113" t="s">
        <v>12</v>
      </c>
      <c r="U1" s="115" t="s">
        <v>13</v>
      </c>
      <c r="V1" s="115"/>
      <c r="W1" s="115"/>
      <c r="X1" s="116" t="s">
        <v>14</v>
      </c>
    </row>
    <row r="2" spans="1:24" ht="15">
      <c r="A2" s="120"/>
      <c r="B2" s="124"/>
      <c r="C2" s="120"/>
      <c r="D2" s="119"/>
      <c r="E2" s="119"/>
      <c r="F2" s="119"/>
      <c r="G2" s="120"/>
      <c r="H2" s="116"/>
      <c r="I2" s="116"/>
      <c r="J2" s="2" t="s">
        <v>15</v>
      </c>
      <c r="K2" s="3" t="s">
        <v>16</v>
      </c>
      <c r="L2" s="3" t="s">
        <v>17</v>
      </c>
      <c r="M2" s="4" t="s">
        <v>18</v>
      </c>
      <c r="N2" s="5" t="s">
        <v>19</v>
      </c>
      <c r="O2" s="4" t="s">
        <v>20</v>
      </c>
      <c r="P2" s="4" t="s">
        <v>21</v>
      </c>
      <c r="Q2" s="4">
        <v>45</v>
      </c>
      <c r="R2" s="121"/>
      <c r="S2" s="122"/>
      <c r="T2" s="114"/>
      <c r="U2" s="1" t="s">
        <v>22</v>
      </c>
      <c r="V2" s="1" t="s">
        <v>23</v>
      </c>
      <c r="W2" s="1" t="s">
        <v>24</v>
      </c>
      <c r="X2" s="117"/>
    </row>
    <row r="3" spans="1:24" ht="15">
      <c r="A3" s="6">
        <v>1</v>
      </c>
      <c r="B3" s="7" t="s">
        <v>25</v>
      </c>
      <c r="C3" s="7" t="s">
        <v>26</v>
      </c>
      <c r="D3" s="7" t="s">
        <v>27</v>
      </c>
      <c r="E3" s="8">
        <v>45787</v>
      </c>
      <c r="F3" s="8">
        <v>45804</v>
      </c>
      <c r="G3" s="9" t="s">
        <v>28</v>
      </c>
      <c r="H3" s="7" t="s">
        <v>29</v>
      </c>
      <c r="I3" s="7" t="s">
        <v>30</v>
      </c>
      <c r="J3" s="7"/>
      <c r="K3" s="7"/>
      <c r="L3" s="7"/>
      <c r="M3" s="10"/>
      <c r="N3" s="10"/>
      <c r="O3" s="11">
        <v>1</v>
      </c>
      <c r="P3" s="12"/>
      <c r="Q3" s="7"/>
      <c r="R3" s="13">
        <v>2541.098</v>
      </c>
      <c r="S3" s="13">
        <v>2625</v>
      </c>
      <c r="T3" s="14"/>
      <c r="U3" s="15">
        <v>22.5</v>
      </c>
      <c r="V3" s="16"/>
      <c r="W3" s="15">
        <v>7.5</v>
      </c>
      <c r="X3" s="17">
        <v>83.902000000000001</v>
      </c>
    </row>
    <row r="4" spans="1:24" ht="15">
      <c r="A4" s="6">
        <v>2</v>
      </c>
      <c r="B4" s="7" t="s">
        <v>25</v>
      </c>
      <c r="C4" s="7" t="s">
        <v>26</v>
      </c>
      <c r="D4" s="7" t="s">
        <v>27</v>
      </c>
      <c r="E4" s="8">
        <v>45787</v>
      </c>
      <c r="F4" s="8">
        <v>45805</v>
      </c>
      <c r="G4" s="9" t="s">
        <v>28</v>
      </c>
      <c r="H4" s="7" t="s">
        <v>31</v>
      </c>
      <c r="I4" s="7" t="s">
        <v>32</v>
      </c>
      <c r="J4" s="7"/>
      <c r="K4" s="7"/>
      <c r="L4" s="7"/>
      <c r="M4" s="18"/>
      <c r="N4" s="18"/>
      <c r="O4" s="19">
        <v>1</v>
      </c>
      <c r="P4" s="12"/>
      <c r="Q4" s="7"/>
      <c r="R4" s="20">
        <v>2541.098</v>
      </c>
      <c r="S4" s="20">
        <v>2625</v>
      </c>
      <c r="T4" s="14"/>
      <c r="U4" s="15">
        <v>22.5</v>
      </c>
      <c r="V4" s="16"/>
      <c r="W4" s="15">
        <v>7.5</v>
      </c>
      <c r="X4" s="21">
        <v>83.902000000000001</v>
      </c>
    </row>
    <row r="5" spans="1:24" ht="15">
      <c r="A5" s="6">
        <v>3</v>
      </c>
      <c r="B5" s="7" t="s">
        <v>33</v>
      </c>
      <c r="C5" s="7" t="s">
        <v>34</v>
      </c>
      <c r="D5" s="7" t="s">
        <v>35</v>
      </c>
      <c r="E5" s="8">
        <v>45795</v>
      </c>
      <c r="F5" s="8">
        <v>45808</v>
      </c>
      <c r="G5" s="22" t="s">
        <v>36</v>
      </c>
      <c r="H5" s="7" t="s">
        <v>37</v>
      </c>
      <c r="I5" s="7" t="s">
        <v>38</v>
      </c>
      <c r="J5" s="7"/>
      <c r="K5" s="7"/>
      <c r="L5" s="7"/>
      <c r="M5" s="18">
        <v>2</v>
      </c>
      <c r="N5" s="18"/>
      <c r="O5" s="19"/>
      <c r="P5" s="12"/>
      <c r="Q5" s="7"/>
      <c r="R5" s="20">
        <v>5370.933</v>
      </c>
      <c r="S5" s="20">
        <v>5805</v>
      </c>
      <c r="T5" s="14"/>
      <c r="U5" s="14"/>
      <c r="V5" s="16">
        <v>75</v>
      </c>
      <c r="W5" s="15">
        <v>18.75</v>
      </c>
      <c r="X5" s="21">
        <v>434.06700000000001</v>
      </c>
    </row>
    <row r="6" spans="1:24" ht="15">
      <c r="A6" s="6">
        <v>4</v>
      </c>
      <c r="B6" s="7" t="s">
        <v>39</v>
      </c>
      <c r="C6" s="7" t="s">
        <v>26</v>
      </c>
      <c r="D6" s="7" t="s">
        <v>40</v>
      </c>
      <c r="E6" s="8">
        <v>45795</v>
      </c>
      <c r="F6" s="8">
        <v>45822</v>
      </c>
      <c r="G6" s="22" t="s">
        <v>41</v>
      </c>
      <c r="H6" s="7" t="s">
        <v>42</v>
      </c>
      <c r="I6" s="7" t="s">
        <v>43</v>
      </c>
      <c r="J6" s="7"/>
      <c r="K6" s="7"/>
      <c r="L6" s="7"/>
      <c r="M6" s="18"/>
      <c r="N6" s="18"/>
      <c r="O6" s="19"/>
      <c r="P6" s="18">
        <v>1</v>
      </c>
      <c r="Q6" s="7"/>
      <c r="R6" s="20">
        <v>2410.34</v>
      </c>
      <c r="S6" s="20">
        <v>2785</v>
      </c>
      <c r="T6" s="14"/>
      <c r="U6" s="14"/>
      <c r="V6" s="16">
        <v>20</v>
      </c>
      <c r="W6" s="15">
        <v>5</v>
      </c>
      <c r="X6" s="21">
        <v>374.66</v>
      </c>
    </row>
    <row r="7" spans="1:24" ht="15">
      <c r="A7" s="6">
        <v>5</v>
      </c>
      <c r="B7" s="7" t="s">
        <v>25</v>
      </c>
      <c r="C7" s="7" t="s">
        <v>26</v>
      </c>
      <c r="D7" s="7" t="s">
        <v>27</v>
      </c>
      <c r="E7" s="8">
        <v>45801</v>
      </c>
      <c r="F7" s="8">
        <v>45818</v>
      </c>
      <c r="G7" s="9" t="s">
        <v>28</v>
      </c>
      <c r="H7" s="7" t="s">
        <v>44</v>
      </c>
      <c r="I7" s="7" t="s">
        <v>45</v>
      </c>
      <c r="J7" s="7"/>
      <c r="K7" s="7"/>
      <c r="L7" s="7"/>
      <c r="M7" s="18"/>
      <c r="N7" s="18"/>
      <c r="O7" s="19">
        <v>1</v>
      </c>
      <c r="P7" s="18"/>
      <c r="Q7" s="7"/>
      <c r="R7" s="20">
        <v>2390.9859999999999</v>
      </c>
      <c r="S7" s="20">
        <v>2625</v>
      </c>
      <c r="T7" s="14"/>
      <c r="U7" s="15">
        <v>22.5</v>
      </c>
      <c r="V7" s="16"/>
      <c r="W7" s="15">
        <v>7.5</v>
      </c>
      <c r="X7" s="21">
        <v>234.01400000000001</v>
      </c>
    </row>
    <row r="8" spans="1:24" ht="15">
      <c r="A8" s="6">
        <v>6</v>
      </c>
      <c r="B8" s="7" t="s">
        <v>25</v>
      </c>
      <c r="C8" s="7" t="s">
        <v>26</v>
      </c>
      <c r="D8" s="7" t="s">
        <v>27</v>
      </c>
      <c r="E8" s="8">
        <v>45801</v>
      </c>
      <c r="F8" s="8">
        <v>45819</v>
      </c>
      <c r="G8" s="9" t="s">
        <v>28</v>
      </c>
      <c r="H8" s="7" t="s">
        <v>46</v>
      </c>
      <c r="I8" s="7" t="s">
        <v>47</v>
      </c>
      <c r="J8" s="7"/>
      <c r="K8" s="7"/>
      <c r="L8" s="7"/>
      <c r="M8" s="18"/>
      <c r="N8" s="18"/>
      <c r="O8" s="19">
        <v>1</v>
      </c>
      <c r="P8" s="18"/>
      <c r="Q8" s="7"/>
      <c r="R8" s="20">
        <v>2390.9859999999999</v>
      </c>
      <c r="S8" s="20">
        <v>2625</v>
      </c>
      <c r="T8" s="14"/>
      <c r="U8" s="15">
        <v>22.5</v>
      </c>
      <c r="V8" s="16"/>
      <c r="W8" s="15">
        <v>7.5</v>
      </c>
      <c r="X8" s="21">
        <v>234.01400000000001</v>
      </c>
    </row>
    <row r="9" spans="1:24" ht="15">
      <c r="A9" s="6">
        <v>7</v>
      </c>
      <c r="B9" s="7" t="s">
        <v>48</v>
      </c>
      <c r="C9" s="7" t="s">
        <v>34</v>
      </c>
      <c r="D9" s="7" t="s">
        <v>49</v>
      </c>
      <c r="E9" s="8">
        <v>45803</v>
      </c>
      <c r="F9" s="8">
        <v>45824</v>
      </c>
      <c r="G9" s="22" t="s">
        <v>50</v>
      </c>
      <c r="H9" s="7" t="s">
        <v>51</v>
      </c>
      <c r="I9" s="7" t="s">
        <v>52</v>
      </c>
      <c r="J9" s="7"/>
      <c r="K9" s="7"/>
      <c r="L9" s="7"/>
      <c r="M9" s="18"/>
      <c r="N9" s="18"/>
      <c r="O9" s="19"/>
      <c r="P9" s="18">
        <v>2</v>
      </c>
      <c r="Q9" s="7"/>
      <c r="R9" s="20">
        <v>11145.415000000001</v>
      </c>
      <c r="S9" s="20">
        <v>13279</v>
      </c>
      <c r="T9" s="14"/>
      <c r="U9" s="14"/>
      <c r="V9" s="16">
        <v>40</v>
      </c>
      <c r="W9" s="15">
        <v>10</v>
      </c>
      <c r="X9" s="21">
        <v>2133.585</v>
      </c>
    </row>
    <row r="10" spans="1:24" ht="15">
      <c r="A10" s="6">
        <v>8</v>
      </c>
      <c r="B10" s="7" t="s">
        <v>53</v>
      </c>
      <c r="C10" s="7" t="s">
        <v>34</v>
      </c>
      <c r="D10" s="7" t="s">
        <v>54</v>
      </c>
      <c r="E10" s="8">
        <v>45803</v>
      </c>
      <c r="F10" s="8">
        <v>45824</v>
      </c>
      <c r="G10" s="22" t="s">
        <v>50</v>
      </c>
      <c r="H10" s="7" t="s">
        <v>55</v>
      </c>
      <c r="I10" s="7" t="s">
        <v>56</v>
      </c>
      <c r="J10" s="7"/>
      <c r="K10" s="7"/>
      <c r="L10" s="7"/>
      <c r="M10" s="18"/>
      <c r="N10" s="18"/>
      <c r="O10" s="19">
        <v>2</v>
      </c>
      <c r="P10" s="18"/>
      <c r="Q10" s="7"/>
      <c r="R10" s="20">
        <v>10276.549000000001</v>
      </c>
      <c r="S10" s="20">
        <v>10935</v>
      </c>
      <c r="T10" s="14"/>
      <c r="U10" s="14"/>
      <c r="V10" s="16">
        <v>80</v>
      </c>
      <c r="W10" s="15">
        <v>20</v>
      </c>
      <c r="X10" s="21">
        <v>658.45100000000002</v>
      </c>
    </row>
    <row r="11" spans="1:24" ht="15">
      <c r="A11" s="6">
        <v>9</v>
      </c>
      <c r="B11" s="7" t="s">
        <v>57</v>
      </c>
      <c r="C11" s="7" t="s">
        <v>26</v>
      </c>
      <c r="D11" s="7" t="s">
        <v>58</v>
      </c>
      <c r="E11" s="8">
        <v>45806</v>
      </c>
      <c r="F11" s="8">
        <v>45826</v>
      </c>
      <c r="G11" s="22" t="s">
        <v>41</v>
      </c>
      <c r="H11" s="7" t="s">
        <v>59</v>
      </c>
      <c r="I11" s="7" t="s">
        <v>60</v>
      </c>
      <c r="J11" s="7"/>
      <c r="K11" s="7"/>
      <c r="L11" s="7"/>
      <c r="M11" s="18"/>
      <c r="N11" s="18"/>
      <c r="O11" s="19">
        <v>1</v>
      </c>
      <c r="P11" s="18"/>
      <c r="Q11" s="7"/>
      <c r="R11" s="20">
        <v>5209.5619999999999</v>
      </c>
      <c r="S11" s="20">
        <v>5715</v>
      </c>
      <c r="T11" s="14"/>
      <c r="U11" s="14"/>
      <c r="V11" s="16">
        <v>40</v>
      </c>
      <c r="W11" s="15">
        <v>10</v>
      </c>
      <c r="X11" s="21">
        <v>505.43799999999999</v>
      </c>
    </row>
    <row r="12" spans="1:24" ht="15">
      <c r="A12" s="6">
        <v>10</v>
      </c>
      <c r="B12" s="7" t="s">
        <v>61</v>
      </c>
      <c r="C12" s="7" t="s">
        <v>26</v>
      </c>
      <c r="D12" s="7" t="s">
        <v>40</v>
      </c>
      <c r="E12" s="8">
        <v>45804</v>
      </c>
      <c r="F12" s="8">
        <v>45836</v>
      </c>
      <c r="G12" s="22" t="s">
        <v>62</v>
      </c>
      <c r="H12" s="7" t="s">
        <v>63</v>
      </c>
      <c r="I12" s="7" t="s">
        <v>64</v>
      </c>
      <c r="J12" s="7"/>
      <c r="K12" s="7"/>
      <c r="L12" s="7"/>
      <c r="M12" s="18"/>
      <c r="N12" s="18"/>
      <c r="O12" s="19"/>
      <c r="P12" s="18">
        <v>1</v>
      </c>
      <c r="Q12" s="7"/>
      <c r="R12" s="20">
        <v>2937.067</v>
      </c>
      <c r="S12" s="20">
        <v>3060</v>
      </c>
      <c r="T12" s="14"/>
      <c r="U12" s="14"/>
      <c r="V12" s="16">
        <v>100</v>
      </c>
      <c r="W12" s="16">
        <v>25</v>
      </c>
      <c r="X12" s="21">
        <v>122.93300000000001</v>
      </c>
    </row>
    <row r="13" spans="1:24" ht="15">
      <c r="A13" s="6">
        <v>11</v>
      </c>
      <c r="B13" s="7" t="s">
        <v>61</v>
      </c>
      <c r="C13" s="7" t="s">
        <v>26</v>
      </c>
      <c r="D13" s="7" t="s">
        <v>40</v>
      </c>
      <c r="E13" s="8">
        <v>45804</v>
      </c>
      <c r="F13" s="8">
        <v>45836</v>
      </c>
      <c r="G13" s="22" t="s">
        <v>62</v>
      </c>
      <c r="H13" s="7" t="s">
        <v>65</v>
      </c>
      <c r="I13" s="7" t="s">
        <v>66</v>
      </c>
      <c r="J13" s="7"/>
      <c r="K13" s="7"/>
      <c r="L13" s="7"/>
      <c r="M13" s="18"/>
      <c r="N13" s="18"/>
      <c r="O13" s="19"/>
      <c r="P13" s="18">
        <v>1</v>
      </c>
      <c r="Q13" s="7"/>
      <c r="R13" s="20">
        <v>2937.067</v>
      </c>
      <c r="S13" s="20">
        <v>3060</v>
      </c>
      <c r="T13" s="14"/>
      <c r="U13" s="14"/>
      <c r="V13" s="16">
        <v>100</v>
      </c>
      <c r="W13" s="16">
        <v>25</v>
      </c>
      <c r="X13" s="21">
        <v>122.93300000000001</v>
      </c>
    </row>
    <row r="14" spans="1:24" ht="15">
      <c r="A14" s="6">
        <v>12</v>
      </c>
      <c r="B14" s="7" t="s">
        <v>67</v>
      </c>
      <c r="C14" s="7" t="s">
        <v>34</v>
      </c>
      <c r="D14" s="7" t="s">
        <v>68</v>
      </c>
      <c r="E14" s="8">
        <v>45806</v>
      </c>
      <c r="F14" s="8">
        <v>45826</v>
      </c>
      <c r="G14" s="22" t="s">
        <v>50</v>
      </c>
      <c r="H14" s="7" t="s">
        <v>69</v>
      </c>
      <c r="I14" s="7" t="s">
        <v>70</v>
      </c>
      <c r="J14" s="7"/>
      <c r="K14" s="7"/>
      <c r="L14" s="7"/>
      <c r="M14" s="18">
        <v>3</v>
      </c>
      <c r="N14" s="18"/>
      <c r="O14" s="19"/>
      <c r="P14" s="18"/>
      <c r="Q14" s="7"/>
      <c r="R14" s="20">
        <v>11050</v>
      </c>
      <c r="S14" s="20">
        <v>11950</v>
      </c>
      <c r="T14" s="14"/>
      <c r="U14" s="14"/>
      <c r="V14" s="16">
        <v>120</v>
      </c>
      <c r="W14" s="16">
        <v>30</v>
      </c>
      <c r="X14" s="21">
        <v>900</v>
      </c>
    </row>
    <row r="15" spans="1:24" ht="15">
      <c r="A15" s="6">
        <v>13</v>
      </c>
      <c r="B15" s="7" t="s">
        <v>67</v>
      </c>
      <c r="C15" s="7" t="s">
        <v>34</v>
      </c>
      <c r="D15" s="7" t="s">
        <v>71</v>
      </c>
      <c r="E15" s="8">
        <v>45806</v>
      </c>
      <c r="F15" s="8">
        <v>45826</v>
      </c>
      <c r="G15" s="22" t="s">
        <v>50</v>
      </c>
      <c r="H15" s="7" t="s">
        <v>72</v>
      </c>
      <c r="I15" s="7" t="s">
        <v>73</v>
      </c>
      <c r="J15" s="7"/>
      <c r="K15" s="7"/>
      <c r="L15" s="7"/>
      <c r="M15" s="18">
        <v>2</v>
      </c>
      <c r="N15" s="18"/>
      <c r="O15" s="19"/>
      <c r="P15" s="18"/>
      <c r="Q15" s="7"/>
      <c r="R15" s="20">
        <v>7255</v>
      </c>
      <c r="S15" s="20">
        <v>7405</v>
      </c>
      <c r="T15" s="14"/>
      <c r="U15" s="14"/>
      <c r="V15" s="16">
        <v>40</v>
      </c>
      <c r="W15" s="16">
        <v>10</v>
      </c>
      <c r="X15" s="21">
        <v>150</v>
      </c>
    </row>
    <row r="16" spans="1:24" ht="15">
      <c r="A16" s="118"/>
      <c r="B16" s="118"/>
      <c r="C16" s="118"/>
      <c r="D16" s="23"/>
      <c r="E16" s="24"/>
      <c r="F16" s="24"/>
      <c r="G16" s="24"/>
      <c r="H16" s="24"/>
      <c r="I16" s="24"/>
      <c r="J16" s="25" t="s">
        <v>74</v>
      </c>
      <c r="K16" s="25" t="s">
        <v>74</v>
      </c>
      <c r="L16" s="25" t="s">
        <v>74</v>
      </c>
      <c r="M16" s="25">
        <f>SUM(M5:M15)</f>
        <v>7</v>
      </c>
      <c r="N16" s="25" t="s">
        <v>74</v>
      </c>
      <c r="O16" s="25">
        <v>7</v>
      </c>
      <c r="P16" s="25">
        <f>SUM(P3:P14)</f>
        <v>5</v>
      </c>
      <c r="Q16" s="25" t="s">
        <v>74</v>
      </c>
      <c r="R16" s="26">
        <f>SUM(R3:R14)</f>
        <v>61201.10100000001</v>
      </c>
      <c r="S16" s="26">
        <f>SUM(S3:S14)</f>
        <v>67089</v>
      </c>
      <c r="T16" s="27">
        <f>SUM(T4:T14)</f>
        <v>0</v>
      </c>
      <c r="U16" s="27">
        <f>SUM(U4:U14)</f>
        <v>67.5</v>
      </c>
      <c r="V16" s="27">
        <f>SUM(V4:V14)</f>
        <v>575</v>
      </c>
      <c r="W16" s="27">
        <f>SUM(W4:W14)</f>
        <v>166.25</v>
      </c>
      <c r="X16" s="27">
        <f>SUM(X3:X15)</f>
        <v>6037.8990000000003</v>
      </c>
    </row>
  </sheetData>
  <mergeCells count="16">
    <mergeCell ref="T1:T2"/>
    <mergeCell ref="U1:W1"/>
    <mergeCell ref="X1:X2"/>
    <mergeCell ref="A16:C16"/>
    <mergeCell ref="G1:G2"/>
    <mergeCell ref="H1:H2"/>
    <mergeCell ref="I1:I2"/>
    <mergeCell ref="J1:Q1"/>
    <mergeCell ref="R1:R2"/>
    <mergeCell ref="S1:S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DCF9-FFA1-412E-9AA2-D1532BFA5D1D}">
  <dimension ref="A1:X37"/>
  <sheetViews>
    <sheetView topLeftCell="A14" workbookViewId="0">
      <selection activeCell="G48" sqref="G48"/>
    </sheetView>
  </sheetViews>
  <sheetFormatPr defaultColWidth="8.85546875" defaultRowHeight="12.75"/>
  <cols>
    <col min="1" max="1" width="4.140625" customWidth="1"/>
    <col min="2" max="2" width="27.140625" customWidth="1"/>
    <col min="3" max="3" width="8.7109375" customWidth="1"/>
    <col min="4" max="4" width="25.7109375" customWidth="1"/>
    <col min="7" max="7" width="11.42578125" customWidth="1"/>
    <col min="8" max="8" width="17.140625" customWidth="1"/>
    <col min="9" max="9" width="14.28515625" customWidth="1"/>
  </cols>
  <sheetData>
    <row r="1" spans="1:24" ht="15">
      <c r="A1" s="120" t="s">
        <v>0</v>
      </c>
      <c r="B1" s="123" t="s">
        <v>1</v>
      </c>
      <c r="C1" s="119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6" t="s">
        <v>7</v>
      </c>
      <c r="I1" s="116" t="s">
        <v>8</v>
      </c>
      <c r="J1" s="120" t="s">
        <v>9</v>
      </c>
      <c r="K1" s="120"/>
      <c r="L1" s="120"/>
      <c r="M1" s="120"/>
      <c r="N1" s="120"/>
      <c r="O1" s="120"/>
      <c r="P1" s="120"/>
      <c r="Q1" s="120"/>
      <c r="R1" s="121" t="s">
        <v>10</v>
      </c>
      <c r="S1" s="122" t="s">
        <v>11</v>
      </c>
      <c r="T1" s="113" t="s">
        <v>12</v>
      </c>
      <c r="U1" s="115" t="s">
        <v>13</v>
      </c>
      <c r="V1" s="115"/>
      <c r="W1" s="115"/>
      <c r="X1" s="116" t="s">
        <v>14</v>
      </c>
    </row>
    <row r="2" spans="1:24" ht="15">
      <c r="A2" s="120"/>
      <c r="B2" s="124"/>
      <c r="C2" s="120"/>
      <c r="D2" s="119"/>
      <c r="E2" s="119"/>
      <c r="F2" s="119"/>
      <c r="G2" s="120"/>
      <c r="H2" s="116"/>
      <c r="I2" s="116"/>
      <c r="J2" s="2" t="s">
        <v>15</v>
      </c>
      <c r="K2" s="3" t="s">
        <v>16</v>
      </c>
      <c r="L2" s="3" t="s">
        <v>17</v>
      </c>
      <c r="M2" s="4" t="s">
        <v>18</v>
      </c>
      <c r="N2" s="5" t="s">
        <v>19</v>
      </c>
      <c r="O2" s="4" t="s">
        <v>20</v>
      </c>
      <c r="P2" s="4" t="s">
        <v>21</v>
      </c>
      <c r="Q2" s="4">
        <v>45</v>
      </c>
      <c r="R2" s="121"/>
      <c r="S2" s="122"/>
      <c r="T2" s="114"/>
      <c r="U2" s="1" t="s">
        <v>22</v>
      </c>
      <c r="V2" s="1" t="s">
        <v>23</v>
      </c>
      <c r="W2" s="1" t="s">
        <v>24</v>
      </c>
      <c r="X2" s="117"/>
    </row>
    <row r="3" spans="1:24" ht="15">
      <c r="A3" s="6">
        <v>1</v>
      </c>
      <c r="B3" s="28" t="s">
        <v>61</v>
      </c>
      <c r="C3" s="28" t="s">
        <v>26</v>
      </c>
      <c r="D3" s="28" t="s">
        <v>75</v>
      </c>
      <c r="E3" s="29">
        <v>45809</v>
      </c>
      <c r="F3" s="30">
        <v>45846</v>
      </c>
      <c r="G3" s="31" t="s">
        <v>62</v>
      </c>
      <c r="H3" s="28" t="s">
        <v>76</v>
      </c>
      <c r="I3" s="28" t="s">
        <v>77</v>
      </c>
      <c r="J3" s="32"/>
      <c r="K3" s="33"/>
      <c r="L3" s="33"/>
      <c r="M3" s="34"/>
      <c r="N3" s="35"/>
      <c r="O3" s="34"/>
      <c r="P3" s="34">
        <v>1</v>
      </c>
      <c r="Q3" s="36"/>
      <c r="R3" s="37">
        <v>3700.7489999999998</v>
      </c>
      <c r="S3" s="37">
        <v>3894.2440000000001</v>
      </c>
      <c r="T3" s="14"/>
      <c r="U3" s="15"/>
      <c r="V3" s="16">
        <v>100</v>
      </c>
      <c r="W3" s="15">
        <v>25</v>
      </c>
      <c r="X3" s="37">
        <v>193.495</v>
      </c>
    </row>
    <row r="4" spans="1:24" ht="15">
      <c r="A4" s="6">
        <v>2</v>
      </c>
      <c r="B4" s="28" t="s">
        <v>61</v>
      </c>
      <c r="C4" s="31" t="s">
        <v>26</v>
      </c>
      <c r="D4" s="31" t="s">
        <v>75</v>
      </c>
      <c r="E4" s="38">
        <v>45809</v>
      </c>
      <c r="F4" s="39">
        <v>45846</v>
      </c>
      <c r="G4" s="31" t="s">
        <v>62</v>
      </c>
      <c r="H4" s="31" t="s">
        <v>78</v>
      </c>
      <c r="I4" s="31" t="s">
        <v>79</v>
      </c>
      <c r="J4" s="32"/>
      <c r="K4" s="33"/>
      <c r="L4" s="33"/>
      <c r="M4" s="40"/>
      <c r="N4" s="35"/>
      <c r="O4" s="40"/>
      <c r="P4" s="40">
        <v>1</v>
      </c>
      <c r="Q4" s="36"/>
      <c r="R4" s="41">
        <v>3666.3449999999998</v>
      </c>
      <c r="S4" s="41">
        <v>3860</v>
      </c>
      <c r="T4" s="14"/>
      <c r="U4" s="15"/>
      <c r="V4" s="16">
        <v>100</v>
      </c>
      <c r="W4" s="15">
        <v>25</v>
      </c>
      <c r="X4" s="41">
        <v>193.655</v>
      </c>
    </row>
    <row r="5" spans="1:24" ht="15">
      <c r="A5" s="6">
        <v>3</v>
      </c>
      <c r="B5" s="28" t="s">
        <v>61</v>
      </c>
      <c r="C5" s="31" t="s">
        <v>26</v>
      </c>
      <c r="D5" s="31" t="s">
        <v>75</v>
      </c>
      <c r="E5" s="38">
        <v>45809</v>
      </c>
      <c r="F5" s="39">
        <v>45846</v>
      </c>
      <c r="G5" s="31" t="s">
        <v>62</v>
      </c>
      <c r="H5" s="31" t="s">
        <v>80</v>
      </c>
      <c r="I5" s="31" t="s">
        <v>81</v>
      </c>
      <c r="J5" s="32"/>
      <c r="K5" s="33"/>
      <c r="L5" s="33"/>
      <c r="M5" s="40"/>
      <c r="N5" s="35"/>
      <c r="O5" s="40"/>
      <c r="P5" s="40">
        <v>1</v>
      </c>
      <c r="Q5" s="36"/>
      <c r="R5" s="41">
        <v>3666.3449999999998</v>
      </c>
      <c r="S5" s="41">
        <v>3860</v>
      </c>
      <c r="T5" s="14"/>
      <c r="U5" s="15"/>
      <c r="V5" s="16">
        <v>100</v>
      </c>
      <c r="W5" s="15">
        <v>25</v>
      </c>
      <c r="X5" s="41">
        <v>193.655</v>
      </c>
    </row>
    <row r="6" spans="1:24" ht="15">
      <c r="A6" s="6">
        <v>4</v>
      </c>
      <c r="B6" s="31" t="s">
        <v>39</v>
      </c>
      <c r="C6" s="31" t="s">
        <v>26</v>
      </c>
      <c r="D6" s="31" t="s">
        <v>40</v>
      </c>
      <c r="E6" s="38">
        <v>45810</v>
      </c>
      <c r="F6" s="39">
        <v>45836</v>
      </c>
      <c r="G6" s="31" t="s">
        <v>62</v>
      </c>
      <c r="H6" s="31" t="s">
        <v>82</v>
      </c>
      <c r="I6" s="31" t="s">
        <v>83</v>
      </c>
      <c r="J6" s="32"/>
      <c r="K6" s="33"/>
      <c r="L6" s="33"/>
      <c r="M6" s="40"/>
      <c r="N6" s="35"/>
      <c r="O6" s="40"/>
      <c r="P6" s="40">
        <v>1</v>
      </c>
      <c r="Q6" s="36"/>
      <c r="R6" s="41">
        <v>2733.799</v>
      </c>
      <c r="S6" s="41">
        <v>2885</v>
      </c>
      <c r="T6" s="14"/>
      <c r="U6" s="15"/>
      <c r="V6" s="16">
        <v>100</v>
      </c>
      <c r="W6" s="15">
        <v>25</v>
      </c>
      <c r="X6" s="41">
        <v>151.20099999999999</v>
      </c>
    </row>
    <row r="7" spans="1:24" ht="15">
      <c r="A7" s="6">
        <v>5</v>
      </c>
      <c r="B7" s="28" t="s">
        <v>61</v>
      </c>
      <c r="C7" s="31" t="s">
        <v>26</v>
      </c>
      <c r="D7" s="31" t="s">
        <v>84</v>
      </c>
      <c r="E7" s="38">
        <v>45814</v>
      </c>
      <c r="F7" s="39">
        <v>45839</v>
      </c>
      <c r="G7" s="31" t="s">
        <v>62</v>
      </c>
      <c r="H7" s="31" t="s">
        <v>85</v>
      </c>
      <c r="I7" s="31" t="s">
        <v>86</v>
      </c>
      <c r="J7" s="32"/>
      <c r="K7" s="33"/>
      <c r="L7" s="33"/>
      <c r="M7" s="40"/>
      <c r="N7" s="35"/>
      <c r="O7" s="40"/>
      <c r="P7" s="40">
        <v>1</v>
      </c>
      <c r="Q7" s="36"/>
      <c r="R7" s="41">
        <v>2820.9409999999998</v>
      </c>
      <c r="S7" s="41">
        <v>2962.8919999999998</v>
      </c>
      <c r="T7" s="14"/>
      <c r="U7" s="15"/>
      <c r="V7" s="16">
        <v>100</v>
      </c>
      <c r="W7" s="15">
        <v>25</v>
      </c>
      <c r="X7" s="41">
        <v>141.95099999999999</v>
      </c>
    </row>
    <row r="8" spans="1:24" ht="15">
      <c r="A8" s="6">
        <v>6</v>
      </c>
      <c r="B8" s="28" t="s">
        <v>61</v>
      </c>
      <c r="C8" s="31" t="s">
        <v>26</v>
      </c>
      <c r="D8" s="31" t="s">
        <v>84</v>
      </c>
      <c r="E8" s="38">
        <v>45814</v>
      </c>
      <c r="F8" s="39">
        <v>45839</v>
      </c>
      <c r="G8" s="31" t="s">
        <v>62</v>
      </c>
      <c r="H8" s="31" t="s">
        <v>87</v>
      </c>
      <c r="I8" s="31" t="s">
        <v>88</v>
      </c>
      <c r="J8" s="32"/>
      <c r="K8" s="33"/>
      <c r="L8" s="33"/>
      <c r="M8" s="40"/>
      <c r="N8" s="35"/>
      <c r="O8" s="40"/>
      <c r="P8" s="40">
        <v>1</v>
      </c>
      <c r="Q8" s="36"/>
      <c r="R8" s="41">
        <v>2820.9409999999998</v>
      </c>
      <c r="S8" s="41">
        <v>2962.8919999999998</v>
      </c>
      <c r="T8" s="14"/>
      <c r="U8" s="15"/>
      <c r="V8" s="16">
        <v>100</v>
      </c>
      <c r="W8" s="15">
        <v>25</v>
      </c>
      <c r="X8" s="41">
        <v>141.95099999999999</v>
      </c>
    </row>
    <row r="9" spans="1:24" ht="15">
      <c r="A9" s="6">
        <v>7</v>
      </c>
      <c r="B9" s="31" t="s">
        <v>25</v>
      </c>
      <c r="C9" s="31" t="s">
        <v>26</v>
      </c>
      <c r="D9" s="31" t="s">
        <v>27</v>
      </c>
      <c r="E9" s="38">
        <v>45815</v>
      </c>
      <c r="F9" s="39">
        <v>45832</v>
      </c>
      <c r="G9" s="31" t="s">
        <v>28</v>
      </c>
      <c r="H9" s="31" t="s">
        <v>89</v>
      </c>
      <c r="I9" s="31" t="s">
        <v>90</v>
      </c>
      <c r="J9" s="32"/>
      <c r="K9" s="33"/>
      <c r="L9" s="33"/>
      <c r="M9" s="40"/>
      <c r="N9" s="35"/>
      <c r="O9" s="40">
        <v>1</v>
      </c>
      <c r="P9" s="40"/>
      <c r="Q9" s="36"/>
      <c r="R9" s="41">
        <v>2789.9589999999998</v>
      </c>
      <c r="S9" s="41">
        <v>2925</v>
      </c>
      <c r="T9" s="14"/>
      <c r="U9" s="15">
        <v>22.5</v>
      </c>
      <c r="V9" s="16"/>
      <c r="W9" s="15">
        <v>7.5</v>
      </c>
      <c r="X9" s="41">
        <v>135.041</v>
      </c>
    </row>
    <row r="10" spans="1:24" ht="15">
      <c r="A10" s="6">
        <v>8</v>
      </c>
      <c r="B10" s="31" t="s">
        <v>25</v>
      </c>
      <c r="C10" s="31" t="s">
        <v>26</v>
      </c>
      <c r="D10" s="31" t="s">
        <v>27</v>
      </c>
      <c r="E10" s="38">
        <v>45815</v>
      </c>
      <c r="F10" s="39">
        <v>45832</v>
      </c>
      <c r="G10" s="31" t="s">
        <v>28</v>
      </c>
      <c r="H10" s="31" t="s">
        <v>91</v>
      </c>
      <c r="I10" s="31" t="s">
        <v>92</v>
      </c>
      <c r="J10" s="32"/>
      <c r="K10" s="33"/>
      <c r="L10" s="33"/>
      <c r="M10" s="40"/>
      <c r="N10" s="35"/>
      <c r="O10" s="40">
        <v>1</v>
      </c>
      <c r="P10" s="40"/>
      <c r="Q10" s="36"/>
      <c r="R10" s="41">
        <v>2789.9589999999998</v>
      </c>
      <c r="S10" s="41">
        <v>2925</v>
      </c>
      <c r="T10" s="14"/>
      <c r="U10" s="15">
        <v>22.5</v>
      </c>
      <c r="V10" s="16"/>
      <c r="W10" s="15">
        <v>7.5</v>
      </c>
      <c r="X10" s="41">
        <v>135.041</v>
      </c>
    </row>
    <row r="11" spans="1:24" ht="15">
      <c r="A11" s="6">
        <v>9</v>
      </c>
      <c r="B11" s="31" t="s">
        <v>67</v>
      </c>
      <c r="C11" s="31" t="s">
        <v>34</v>
      </c>
      <c r="D11" s="31" t="s">
        <v>68</v>
      </c>
      <c r="E11" s="38">
        <v>45824</v>
      </c>
      <c r="F11" s="39">
        <v>45858</v>
      </c>
      <c r="G11" s="31" t="s">
        <v>50</v>
      </c>
      <c r="H11" s="31" t="s">
        <v>93</v>
      </c>
      <c r="I11" s="31" t="s">
        <v>94</v>
      </c>
      <c r="J11" s="32"/>
      <c r="K11" s="33"/>
      <c r="L11" s="33"/>
      <c r="M11" s="40">
        <v>2</v>
      </c>
      <c r="N11" s="35"/>
      <c r="O11" s="40"/>
      <c r="P11" s="40"/>
      <c r="Q11" s="36"/>
      <c r="R11" s="41">
        <v>11295.409</v>
      </c>
      <c r="S11" s="41">
        <v>13165</v>
      </c>
      <c r="T11" s="14"/>
      <c r="U11" s="15"/>
      <c r="V11" s="16">
        <v>40</v>
      </c>
      <c r="W11" s="15">
        <v>10</v>
      </c>
      <c r="X11" s="41">
        <v>1869.5909999999999</v>
      </c>
    </row>
    <row r="12" spans="1:24" ht="15">
      <c r="A12" s="6">
        <v>10</v>
      </c>
      <c r="B12" s="31" t="s">
        <v>67</v>
      </c>
      <c r="C12" s="31" t="s">
        <v>34</v>
      </c>
      <c r="D12" s="31" t="s">
        <v>95</v>
      </c>
      <c r="E12" s="38">
        <v>45825</v>
      </c>
      <c r="F12" s="39">
        <v>45858</v>
      </c>
      <c r="G12" s="31" t="s">
        <v>96</v>
      </c>
      <c r="H12" s="31" t="s">
        <v>97</v>
      </c>
      <c r="I12" s="31" t="s">
        <v>98</v>
      </c>
      <c r="J12" s="32"/>
      <c r="K12" s="33"/>
      <c r="L12" s="33"/>
      <c r="M12" s="40">
        <v>1</v>
      </c>
      <c r="N12" s="35"/>
      <c r="O12" s="40"/>
      <c r="P12" s="40"/>
      <c r="Q12" s="36"/>
      <c r="R12" s="41">
        <v>4889.8559999999998</v>
      </c>
      <c r="S12" s="41">
        <v>5560</v>
      </c>
      <c r="T12" s="14"/>
      <c r="U12" s="15"/>
      <c r="V12" s="16">
        <v>15</v>
      </c>
      <c r="W12" s="15">
        <v>3.75</v>
      </c>
      <c r="X12" s="41">
        <v>670.14400000000001</v>
      </c>
    </row>
    <row r="13" spans="1:24" ht="15">
      <c r="A13" s="6">
        <v>11</v>
      </c>
      <c r="B13" s="31" t="s">
        <v>99</v>
      </c>
      <c r="C13" s="31" t="s">
        <v>34</v>
      </c>
      <c r="D13" s="31" t="s">
        <v>49</v>
      </c>
      <c r="E13" s="38">
        <v>45825</v>
      </c>
      <c r="F13" s="39">
        <v>45858</v>
      </c>
      <c r="G13" s="31" t="s">
        <v>50</v>
      </c>
      <c r="H13" s="31" t="s">
        <v>100</v>
      </c>
      <c r="I13" s="31" t="s">
        <v>101</v>
      </c>
      <c r="J13" s="32"/>
      <c r="K13" s="33"/>
      <c r="L13" s="33"/>
      <c r="M13" s="40"/>
      <c r="N13" s="35"/>
      <c r="O13" s="40">
        <v>1</v>
      </c>
      <c r="P13" s="40"/>
      <c r="Q13" s="36"/>
      <c r="R13" s="41">
        <v>9056.2870000000003</v>
      </c>
      <c r="S13" s="41">
        <v>9234.1200000000008</v>
      </c>
      <c r="T13" s="14"/>
      <c r="U13" s="15"/>
      <c r="V13" s="16">
        <v>20</v>
      </c>
      <c r="W13" s="15">
        <v>10</v>
      </c>
      <c r="X13" s="41">
        <v>177.833</v>
      </c>
    </row>
    <row r="14" spans="1:24" ht="15">
      <c r="A14" s="6">
        <v>12</v>
      </c>
      <c r="B14" s="31" t="s">
        <v>67</v>
      </c>
      <c r="C14" s="31" t="s">
        <v>34</v>
      </c>
      <c r="D14" s="31" t="s">
        <v>102</v>
      </c>
      <c r="E14" s="38">
        <v>45827</v>
      </c>
      <c r="F14" s="39">
        <v>45853</v>
      </c>
      <c r="G14" s="31" t="s">
        <v>103</v>
      </c>
      <c r="H14" s="31" t="s">
        <v>104</v>
      </c>
      <c r="I14" s="31" t="s">
        <v>105</v>
      </c>
      <c r="J14" s="32"/>
      <c r="K14" s="33"/>
      <c r="L14" s="33"/>
      <c r="M14" s="40">
        <v>1</v>
      </c>
      <c r="N14" s="35"/>
      <c r="O14" s="40"/>
      <c r="P14" s="40"/>
      <c r="Q14" s="36"/>
      <c r="R14" s="41">
        <v>2924.5729999999999</v>
      </c>
      <c r="S14" s="41">
        <v>3000</v>
      </c>
      <c r="T14" s="14"/>
      <c r="U14" s="15"/>
      <c r="V14" s="16">
        <v>50</v>
      </c>
      <c r="W14" s="15">
        <v>12.5</v>
      </c>
      <c r="X14" s="41">
        <v>75.427000000000007</v>
      </c>
    </row>
    <row r="15" spans="1:24" ht="15">
      <c r="A15" s="6">
        <v>13</v>
      </c>
      <c r="B15" s="31" t="s">
        <v>106</v>
      </c>
      <c r="C15" s="31" t="s">
        <v>34</v>
      </c>
      <c r="D15" s="31" t="s">
        <v>49</v>
      </c>
      <c r="E15" s="38">
        <v>45828</v>
      </c>
      <c r="F15" s="39">
        <v>45886</v>
      </c>
      <c r="G15" s="31" t="s">
        <v>36</v>
      </c>
      <c r="H15" s="31" t="s">
        <v>107</v>
      </c>
      <c r="I15" s="31" t="s">
        <v>108</v>
      </c>
      <c r="J15" s="7"/>
      <c r="K15" s="7"/>
      <c r="L15" s="7"/>
      <c r="M15" s="40">
        <v>2</v>
      </c>
      <c r="N15" s="18"/>
      <c r="O15" s="40"/>
      <c r="P15" s="40"/>
      <c r="Q15" s="7"/>
      <c r="R15" s="41">
        <v>9022.8909999999996</v>
      </c>
      <c r="S15" s="41">
        <v>10070</v>
      </c>
      <c r="T15" s="14"/>
      <c r="U15" s="15"/>
      <c r="V15" s="16"/>
      <c r="W15" s="15"/>
      <c r="X15" s="41">
        <v>1047.1089999999999</v>
      </c>
    </row>
    <row r="16" spans="1:24" ht="15">
      <c r="A16" s="6">
        <v>14</v>
      </c>
      <c r="B16" s="31" t="s">
        <v>25</v>
      </c>
      <c r="C16" s="31" t="s">
        <v>26</v>
      </c>
      <c r="D16" s="31" t="s">
        <v>27</v>
      </c>
      <c r="E16" s="38">
        <v>45829</v>
      </c>
      <c r="F16" s="39">
        <v>45846</v>
      </c>
      <c r="G16" s="31" t="s">
        <v>28</v>
      </c>
      <c r="H16" s="31" t="s">
        <v>109</v>
      </c>
      <c r="I16" s="31" t="s">
        <v>110</v>
      </c>
      <c r="J16" s="7"/>
      <c r="K16" s="7"/>
      <c r="L16" s="7"/>
      <c r="M16" s="40"/>
      <c r="N16" s="10"/>
      <c r="O16" s="40">
        <v>1</v>
      </c>
      <c r="P16" s="40"/>
      <c r="Q16" s="7"/>
      <c r="R16" s="41">
        <v>4389.8580000000002</v>
      </c>
      <c r="S16" s="41">
        <v>5025</v>
      </c>
      <c r="T16" s="14"/>
      <c r="U16" s="15">
        <v>22.5</v>
      </c>
      <c r="V16" s="16"/>
      <c r="W16" s="15">
        <v>7.5</v>
      </c>
      <c r="X16" s="41">
        <v>635.14200000000005</v>
      </c>
    </row>
    <row r="17" spans="1:24" ht="15">
      <c r="A17" s="6">
        <v>15</v>
      </c>
      <c r="B17" s="31" t="s">
        <v>106</v>
      </c>
      <c r="C17" s="31" t="s">
        <v>26</v>
      </c>
      <c r="D17" s="31" t="s">
        <v>75</v>
      </c>
      <c r="E17" s="38">
        <v>45830</v>
      </c>
      <c r="F17" s="39">
        <v>45868</v>
      </c>
      <c r="G17" s="31" t="s">
        <v>111</v>
      </c>
      <c r="H17" s="31" t="s">
        <v>112</v>
      </c>
      <c r="I17" s="31" t="s">
        <v>113</v>
      </c>
      <c r="J17" s="7"/>
      <c r="K17" s="7"/>
      <c r="L17" s="7"/>
      <c r="M17" s="40"/>
      <c r="N17" s="18"/>
      <c r="O17" s="40">
        <v>1</v>
      </c>
      <c r="P17" s="40"/>
      <c r="Q17" s="7"/>
      <c r="R17" s="41">
        <v>5361.7529999999997</v>
      </c>
      <c r="S17" s="41">
        <v>5690</v>
      </c>
      <c r="T17" s="14"/>
      <c r="U17" s="15"/>
      <c r="V17" s="16">
        <v>20</v>
      </c>
      <c r="W17" s="15">
        <v>10</v>
      </c>
      <c r="X17" s="41">
        <v>328.24700000000001</v>
      </c>
    </row>
    <row r="18" spans="1:24" ht="15">
      <c r="A18" s="6">
        <v>16</v>
      </c>
      <c r="B18" s="31" t="s">
        <v>39</v>
      </c>
      <c r="C18" s="31" t="s">
        <v>26</v>
      </c>
      <c r="D18" s="31" t="s">
        <v>114</v>
      </c>
      <c r="E18" s="38">
        <v>45830</v>
      </c>
      <c r="F18" s="39">
        <v>45869</v>
      </c>
      <c r="G18" s="31" t="s">
        <v>115</v>
      </c>
      <c r="H18" s="31" t="s">
        <v>116</v>
      </c>
      <c r="I18" s="31" t="s">
        <v>117</v>
      </c>
      <c r="J18" s="7"/>
      <c r="K18" s="7"/>
      <c r="L18" s="7"/>
      <c r="M18" s="40"/>
      <c r="N18" s="18"/>
      <c r="O18" s="40">
        <v>1</v>
      </c>
      <c r="P18" s="40"/>
      <c r="Q18" s="7"/>
      <c r="R18" s="41">
        <v>6072.3919999999998</v>
      </c>
      <c r="S18" s="41">
        <v>6260</v>
      </c>
      <c r="T18" s="14"/>
      <c r="U18" s="15"/>
      <c r="V18" s="16"/>
      <c r="W18" s="15"/>
      <c r="X18" s="41">
        <v>187.608</v>
      </c>
    </row>
    <row r="19" spans="1:24" ht="15">
      <c r="A19" s="6">
        <v>17</v>
      </c>
      <c r="B19" s="31" t="s">
        <v>53</v>
      </c>
      <c r="C19" s="31" t="s">
        <v>26</v>
      </c>
      <c r="D19" s="31" t="s">
        <v>118</v>
      </c>
      <c r="E19" s="38">
        <v>45830</v>
      </c>
      <c r="F19" s="39">
        <v>45876</v>
      </c>
      <c r="G19" s="31" t="s">
        <v>41</v>
      </c>
      <c r="H19" s="31" t="s">
        <v>119</v>
      </c>
      <c r="I19" s="31" t="s">
        <v>120</v>
      </c>
      <c r="J19" s="7"/>
      <c r="K19" s="7"/>
      <c r="L19" s="7"/>
      <c r="M19" s="40"/>
      <c r="N19" s="18"/>
      <c r="O19" s="40">
        <v>2</v>
      </c>
      <c r="P19" s="40"/>
      <c r="Q19" s="7"/>
      <c r="R19" s="41">
        <v>9676.2849999999999</v>
      </c>
      <c r="S19" s="41">
        <v>10335</v>
      </c>
      <c r="T19" s="14"/>
      <c r="U19" s="15"/>
      <c r="V19" s="16">
        <v>20</v>
      </c>
      <c r="W19" s="15">
        <v>10</v>
      </c>
      <c r="X19" s="41">
        <v>658.71500000000003</v>
      </c>
    </row>
    <row r="20" spans="1:24" ht="15" customHeight="1">
      <c r="A20" s="6">
        <v>18</v>
      </c>
      <c r="B20" s="31" t="s">
        <v>67</v>
      </c>
      <c r="C20" s="31" t="s">
        <v>34</v>
      </c>
      <c r="D20" s="31" t="s">
        <v>95</v>
      </c>
      <c r="E20" s="38">
        <v>45831</v>
      </c>
      <c r="F20" s="39">
        <v>45864</v>
      </c>
      <c r="G20" s="31" t="s">
        <v>96</v>
      </c>
      <c r="H20" s="31" t="s">
        <v>121</v>
      </c>
      <c r="I20" s="31" t="s">
        <v>122</v>
      </c>
      <c r="J20" s="7"/>
      <c r="K20" s="7"/>
      <c r="L20" s="7"/>
      <c r="M20" s="40">
        <v>2</v>
      </c>
      <c r="N20" s="18"/>
      <c r="O20" s="40"/>
      <c r="P20" s="40"/>
      <c r="Q20" s="7"/>
      <c r="R20" s="41">
        <v>7725.2240000000002</v>
      </c>
      <c r="S20" s="41">
        <v>9005</v>
      </c>
      <c r="T20" s="14"/>
      <c r="U20" s="15"/>
      <c r="V20" s="16">
        <v>15</v>
      </c>
      <c r="W20" s="15">
        <v>5</v>
      </c>
      <c r="X20" s="41">
        <v>1279.7760000000001</v>
      </c>
    </row>
    <row r="21" spans="1:24" ht="15">
      <c r="A21" s="6">
        <v>19</v>
      </c>
      <c r="B21" s="31" t="s">
        <v>39</v>
      </c>
      <c r="C21" s="31" t="s">
        <v>26</v>
      </c>
      <c r="D21" s="31" t="s">
        <v>102</v>
      </c>
      <c r="E21" s="38">
        <v>45833</v>
      </c>
      <c r="F21" s="39">
        <v>45854</v>
      </c>
      <c r="G21" s="31" t="s">
        <v>123</v>
      </c>
      <c r="H21" s="31" t="s">
        <v>124</v>
      </c>
      <c r="I21" s="31" t="s">
        <v>125</v>
      </c>
      <c r="J21" s="7"/>
      <c r="K21" s="7"/>
      <c r="L21" s="7"/>
      <c r="M21" s="40"/>
      <c r="N21" s="18"/>
      <c r="O21" s="40"/>
      <c r="P21" s="40">
        <v>1</v>
      </c>
      <c r="Q21" s="7"/>
      <c r="R21" s="41">
        <v>3430.306</v>
      </c>
      <c r="S21" s="41">
        <v>3785</v>
      </c>
      <c r="T21" s="14"/>
      <c r="U21" s="14"/>
      <c r="V21" s="16">
        <v>100</v>
      </c>
      <c r="W21" s="15">
        <v>25</v>
      </c>
      <c r="X21" s="41">
        <v>354.69400000000002</v>
      </c>
    </row>
    <row r="22" spans="1:24" ht="15">
      <c r="A22" s="6">
        <v>20</v>
      </c>
      <c r="B22" s="28" t="s">
        <v>61</v>
      </c>
      <c r="C22" s="31" t="s">
        <v>26</v>
      </c>
      <c r="D22" s="31" t="s">
        <v>126</v>
      </c>
      <c r="E22" s="38">
        <v>45834</v>
      </c>
      <c r="F22" s="39">
        <v>45880</v>
      </c>
      <c r="G22" s="31" t="s">
        <v>127</v>
      </c>
      <c r="H22" s="31" t="s">
        <v>128</v>
      </c>
      <c r="I22" s="31" t="s">
        <v>129</v>
      </c>
      <c r="J22" s="7"/>
      <c r="K22" s="7"/>
      <c r="L22" s="7"/>
      <c r="M22" s="40"/>
      <c r="N22" s="18"/>
      <c r="O22" s="40"/>
      <c r="P22" s="40">
        <v>1</v>
      </c>
      <c r="Q22" s="7"/>
      <c r="R22" s="41">
        <v>6364</v>
      </c>
      <c r="S22" s="41">
        <v>6585</v>
      </c>
      <c r="T22" s="14"/>
      <c r="U22" s="14"/>
      <c r="V22" s="16">
        <v>30</v>
      </c>
      <c r="W22" s="15">
        <v>7.5</v>
      </c>
      <c r="X22" s="41">
        <v>221</v>
      </c>
    </row>
    <row r="23" spans="1:24" ht="15">
      <c r="A23" s="6">
        <v>21</v>
      </c>
      <c r="B23" s="28" t="s">
        <v>61</v>
      </c>
      <c r="C23" s="31" t="s">
        <v>26</v>
      </c>
      <c r="D23" s="31" t="s">
        <v>126</v>
      </c>
      <c r="E23" s="38">
        <v>45834</v>
      </c>
      <c r="F23" s="39">
        <v>45880</v>
      </c>
      <c r="G23" s="31" t="s">
        <v>127</v>
      </c>
      <c r="H23" s="31" t="s">
        <v>130</v>
      </c>
      <c r="I23" s="31" t="s">
        <v>131</v>
      </c>
      <c r="J23" s="7"/>
      <c r="K23" s="7"/>
      <c r="L23" s="7"/>
      <c r="M23" s="40"/>
      <c r="N23" s="18"/>
      <c r="O23" s="40"/>
      <c r="P23" s="40">
        <v>1</v>
      </c>
      <c r="Q23" s="7"/>
      <c r="R23" s="41">
        <v>6364</v>
      </c>
      <c r="S23" s="41">
        <v>6585</v>
      </c>
      <c r="T23" s="14"/>
      <c r="U23" s="14"/>
      <c r="V23" s="16">
        <v>30</v>
      </c>
      <c r="W23" s="15">
        <v>7.5</v>
      </c>
      <c r="X23" s="41">
        <v>221</v>
      </c>
    </row>
    <row r="24" spans="1:24" ht="15">
      <c r="A24" s="6">
        <v>22</v>
      </c>
      <c r="B24" s="28" t="s">
        <v>61</v>
      </c>
      <c r="C24" s="31" t="s">
        <v>26</v>
      </c>
      <c r="D24" s="31" t="s">
        <v>75</v>
      </c>
      <c r="E24" s="38">
        <v>45835</v>
      </c>
      <c r="F24" s="39">
        <v>45868</v>
      </c>
      <c r="G24" s="31" t="s">
        <v>103</v>
      </c>
      <c r="H24" s="31" t="s">
        <v>132</v>
      </c>
      <c r="I24" s="31" t="s">
        <v>133</v>
      </c>
      <c r="J24" s="7"/>
      <c r="K24" s="7"/>
      <c r="L24" s="7"/>
      <c r="M24" s="40"/>
      <c r="N24" s="18"/>
      <c r="O24" s="40"/>
      <c r="P24" s="40">
        <v>1</v>
      </c>
      <c r="Q24" s="7"/>
      <c r="R24" s="41">
        <v>6755.1170000000002</v>
      </c>
      <c r="S24" s="41">
        <v>6750</v>
      </c>
      <c r="T24" s="14"/>
      <c r="U24" s="14"/>
      <c r="V24" s="16">
        <v>50</v>
      </c>
      <c r="W24" s="15">
        <v>12.5</v>
      </c>
      <c r="X24" s="41">
        <v>95</v>
      </c>
    </row>
    <row r="25" spans="1:24" ht="15">
      <c r="A25" s="6">
        <v>23</v>
      </c>
      <c r="B25" s="28" t="s">
        <v>61</v>
      </c>
      <c r="C25" s="31" t="s">
        <v>26</v>
      </c>
      <c r="D25" s="31" t="s">
        <v>75</v>
      </c>
      <c r="E25" s="38">
        <v>45835</v>
      </c>
      <c r="F25" s="39">
        <v>45868</v>
      </c>
      <c r="G25" s="31" t="s">
        <v>103</v>
      </c>
      <c r="H25" s="31" t="s">
        <v>134</v>
      </c>
      <c r="I25" s="31" t="s">
        <v>135</v>
      </c>
      <c r="J25" s="7"/>
      <c r="K25" s="7"/>
      <c r="L25" s="7"/>
      <c r="M25" s="40"/>
      <c r="N25" s="18"/>
      <c r="O25" s="40"/>
      <c r="P25" s="40">
        <v>1</v>
      </c>
      <c r="Q25" s="7"/>
      <c r="R25" s="41">
        <v>6755.1170000000002</v>
      </c>
      <c r="S25" s="41">
        <v>6750</v>
      </c>
      <c r="T25" s="14"/>
      <c r="U25" s="15"/>
      <c r="V25" s="16">
        <v>50</v>
      </c>
      <c r="W25" s="15">
        <v>12.5</v>
      </c>
      <c r="X25" s="41">
        <v>95</v>
      </c>
    </row>
    <row r="26" spans="1:24" ht="15">
      <c r="A26" s="6">
        <v>24</v>
      </c>
      <c r="B26" s="28" t="s">
        <v>61</v>
      </c>
      <c r="C26" s="31" t="s">
        <v>26</v>
      </c>
      <c r="D26" s="31" t="s">
        <v>75</v>
      </c>
      <c r="E26" s="38">
        <v>45835</v>
      </c>
      <c r="F26" s="39">
        <v>45868</v>
      </c>
      <c r="G26" s="31" t="s">
        <v>103</v>
      </c>
      <c r="H26" s="31" t="s">
        <v>136</v>
      </c>
      <c r="I26" s="31" t="s">
        <v>137</v>
      </c>
      <c r="J26" s="7"/>
      <c r="K26" s="7"/>
      <c r="L26" s="7"/>
      <c r="M26" s="40"/>
      <c r="N26" s="18"/>
      <c r="O26" s="40"/>
      <c r="P26" s="40">
        <v>1</v>
      </c>
      <c r="Q26" s="7"/>
      <c r="R26" s="41">
        <v>6755.1170000000002</v>
      </c>
      <c r="S26" s="41">
        <v>6750</v>
      </c>
      <c r="T26" s="14"/>
      <c r="U26" s="15"/>
      <c r="V26" s="16">
        <v>50</v>
      </c>
      <c r="W26" s="15">
        <v>12.5</v>
      </c>
      <c r="X26" s="41">
        <v>95</v>
      </c>
    </row>
    <row r="27" spans="1:24" ht="15">
      <c r="A27" s="6">
        <v>25</v>
      </c>
      <c r="B27" s="28" t="s">
        <v>61</v>
      </c>
      <c r="C27" s="31" t="s">
        <v>26</v>
      </c>
      <c r="D27" s="31" t="s">
        <v>75</v>
      </c>
      <c r="E27" s="38">
        <v>45835</v>
      </c>
      <c r="F27" s="39">
        <v>45868</v>
      </c>
      <c r="G27" s="31" t="s">
        <v>103</v>
      </c>
      <c r="H27" s="31" t="s">
        <v>138</v>
      </c>
      <c r="I27" s="31" t="s">
        <v>139</v>
      </c>
      <c r="J27" s="7"/>
      <c r="K27" s="7"/>
      <c r="L27" s="7"/>
      <c r="M27" s="40"/>
      <c r="N27" s="18"/>
      <c r="O27" s="40"/>
      <c r="P27" s="40">
        <v>1</v>
      </c>
      <c r="Q27" s="7"/>
      <c r="R27" s="41">
        <v>6755.1170000000002</v>
      </c>
      <c r="S27" s="41">
        <v>6750</v>
      </c>
      <c r="T27" s="14"/>
      <c r="U27" s="14"/>
      <c r="V27" s="16">
        <v>50</v>
      </c>
      <c r="W27" s="15">
        <v>12.5</v>
      </c>
      <c r="X27" s="41">
        <v>95</v>
      </c>
    </row>
    <row r="28" spans="1:24" ht="15">
      <c r="A28" s="6">
        <v>26</v>
      </c>
      <c r="B28" s="28" t="s">
        <v>61</v>
      </c>
      <c r="C28" s="31" t="s">
        <v>26</v>
      </c>
      <c r="D28" s="31" t="s">
        <v>75</v>
      </c>
      <c r="E28" s="38">
        <v>45836</v>
      </c>
      <c r="F28" s="39">
        <v>45874</v>
      </c>
      <c r="G28" s="31" t="s">
        <v>62</v>
      </c>
      <c r="H28" s="31" t="s">
        <v>140</v>
      </c>
      <c r="I28" s="31" t="s">
        <v>141</v>
      </c>
      <c r="J28" s="7"/>
      <c r="K28" s="7"/>
      <c r="L28" s="7"/>
      <c r="M28" s="40"/>
      <c r="N28" s="18"/>
      <c r="O28" s="40"/>
      <c r="P28" s="40">
        <v>1</v>
      </c>
      <c r="Q28" s="7"/>
      <c r="R28" s="41">
        <v>5985</v>
      </c>
      <c r="S28" s="41">
        <v>6685</v>
      </c>
      <c r="T28" s="14"/>
      <c r="U28" s="14"/>
      <c r="V28" s="16">
        <v>100</v>
      </c>
      <c r="W28" s="15">
        <v>25</v>
      </c>
      <c r="X28" s="41">
        <v>700</v>
      </c>
    </row>
    <row r="29" spans="1:24" ht="15">
      <c r="A29" s="6">
        <v>27</v>
      </c>
      <c r="B29" s="28" t="s">
        <v>61</v>
      </c>
      <c r="C29" s="31" t="s">
        <v>26</v>
      </c>
      <c r="D29" s="31" t="s">
        <v>75</v>
      </c>
      <c r="E29" s="38">
        <v>45836</v>
      </c>
      <c r="F29" s="39">
        <v>45874</v>
      </c>
      <c r="G29" s="31" t="s">
        <v>62</v>
      </c>
      <c r="H29" s="31" t="s">
        <v>142</v>
      </c>
      <c r="I29" s="31" t="s">
        <v>143</v>
      </c>
      <c r="J29" s="7"/>
      <c r="K29" s="7"/>
      <c r="L29" s="7"/>
      <c r="M29" s="40"/>
      <c r="N29" s="18"/>
      <c r="O29" s="40"/>
      <c r="P29" s="40">
        <v>1</v>
      </c>
      <c r="Q29" s="7"/>
      <c r="R29" s="41">
        <v>5985</v>
      </c>
      <c r="S29" s="41">
        <v>6685</v>
      </c>
      <c r="T29" s="14"/>
      <c r="U29" s="14"/>
      <c r="V29" s="16">
        <v>100</v>
      </c>
      <c r="W29" s="15">
        <v>25</v>
      </c>
      <c r="X29" s="41">
        <v>700</v>
      </c>
    </row>
    <row r="30" spans="1:24" ht="15">
      <c r="A30" s="6">
        <v>28</v>
      </c>
      <c r="B30" s="28" t="s">
        <v>61</v>
      </c>
      <c r="C30" s="31" t="s">
        <v>26</v>
      </c>
      <c r="D30" s="31" t="s">
        <v>75</v>
      </c>
      <c r="E30" s="38">
        <v>45836</v>
      </c>
      <c r="F30" s="39">
        <v>45874</v>
      </c>
      <c r="G30" s="31" t="s">
        <v>62</v>
      </c>
      <c r="H30" s="31" t="s">
        <v>144</v>
      </c>
      <c r="I30" s="31" t="s">
        <v>145</v>
      </c>
      <c r="J30" s="7"/>
      <c r="K30" s="7"/>
      <c r="L30" s="7"/>
      <c r="M30" s="40"/>
      <c r="N30" s="18"/>
      <c r="O30" s="40"/>
      <c r="P30" s="40">
        <v>1</v>
      </c>
      <c r="Q30" s="7"/>
      <c r="R30" s="41">
        <v>5985</v>
      </c>
      <c r="S30" s="41">
        <v>6685</v>
      </c>
      <c r="T30" s="14"/>
      <c r="U30" s="14"/>
      <c r="V30" s="16">
        <v>100</v>
      </c>
      <c r="W30" s="15">
        <v>25</v>
      </c>
      <c r="X30" s="41">
        <v>700</v>
      </c>
    </row>
    <row r="31" spans="1:24" ht="15">
      <c r="A31" s="6">
        <v>29</v>
      </c>
      <c r="B31" s="28" t="s">
        <v>61</v>
      </c>
      <c r="C31" s="31" t="s">
        <v>26</v>
      </c>
      <c r="D31" s="31" t="s">
        <v>75</v>
      </c>
      <c r="E31" s="38">
        <v>45836</v>
      </c>
      <c r="F31" s="39">
        <v>45874</v>
      </c>
      <c r="G31" s="31" t="s">
        <v>62</v>
      </c>
      <c r="H31" s="31" t="s">
        <v>146</v>
      </c>
      <c r="I31" s="31" t="s">
        <v>147</v>
      </c>
      <c r="J31" s="7"/>
      <c r="K31" s="7"/>
      <c r="L31" s="7"/>
      <c r="M31" s="40"/>
      <c r="N31" s="18"/>
      <c r="O31" s="40"/>
      <c r="P31" s="40">
        <v>1</v>
      </c>
      <c r="Q31" s="7"/>
      <c r="R31" s="41">
        <v>5985</v>
      </c>
      <c r="S31" s="41">
        <v>6685</v>
      </c>
      <c r="T31" s="14"/>
      <c r="U31" s="14"/>
      <c r="V31" s="16">
        <v>100</v>
      </c>
      <c r="W31" s="15">
        <v>25</v>
      </c>
      <c r="X31" s="41">
        <v>700</v>
      </c>
    </row>
    <row r="32" spans="1:24" ht="15">
      <c r="A32" s="6">
        <v>30</v>
      </c>
      <c r="B32" s="28" t="s">
        <v>61</v>
      </c>
      <c r="C32" s="31" t="s">
        <v>26</v>
      </c>
      <c r="D32" s="31" t="s">
        <v>75</v>
      </c>
      <c r="E32" s="38">
        <v>45836</v>
      </c>
      <c r="F32" s="39">
        <v>45874</v>
      </c>
      <c r="G32" s="31" t="s">
        <v>62</v>
      </c>
      <c r="H32" s="31" t="s">
        <v>148</v>
      </c>
      <c r="I32" s="31" t="s">
        <v>149</v>
      </c>
      <c r="J32" s="7"/>
      <c r="K32" s="7"/>
      <c r="L32" s="7"/>
      <c r="M32" s="40"/>
      <c r="N32" s="18"/>
      <c r="O32" s="40"/>
      <c r="P32" s="40">
        <v>1</v>
      </c>
      <c r="Q32" s="7"/>
      <c r="R32" s="41">
        <v>5985</v>
      </c>
      <c r="S32" s="41">
        <v>6685</v>
      </c>
      <c r="T32" s="14"/>
      <c r="U32" s="14"/>
      <c r="V32" s="16">
        <v>100</v>
      </c>
      <c r="W32" s="15">
        <v>25</v>
      </c>
      <c r="X32" s="41">
        <v>700</v>
      </c>
    </row>
    <row r="33" spans="1:24" ht="15">
      <c r="A33" s="6">
        <v>31</v>
      </c>
      <c r="B33" s="28" t="s">
        <v>61</v>
      </c>
      <c r="C33" s="31" t="s">
        <v>26</v>
      </c>
      <c r="D33" s="31" t="s">
        <v>150</v>
      </c>
      <c r="E33" s="38">
        <v>45838</v>
      </c>
      <c r="F33" s="39">
        <v>45856</v>
      </c>
      <c r="G33" s="31" t="s">
        <v>62</v>
      </c>
      <c r="H33" s="31" t="s">
        <v>151</v>
      </c>
      <c r="I33" s="31" t="s">
        <v>152</v>
      </c>
      <c r="J33" s="7"/>
      <c r="K33" s="7"/>
      <c r="L33" s="7"/>
      <c r="M33" s="40"/>
      <c r="N33" s="18"/>
      <c r="O33" s="40"/>
      <c r="P33" s="40">
        <v>1</v>
      </c>
      <c r="Q33" s="7"/>
      <c r="R33" s="41">
        <v>3285</v>
      </c>
      <c r="S33" s="41">
        <v>3485</v>
      </c>
      <c r="T33" s="14"/>
      <c r="U33" s="14"/>
      <c r="V33" s="16">
        <v>100</v>
      </c>
      <c r="W33" s="15">
        <v>25</v>
      </c>
      <c r="X33" s="41">
        <v>200</v>
      </c>
    </row>
    <row r="34" spans="1:24" ht="15">
      <c r="A34" s="6">
        <v>32</v>
      </c>
      <c r="B34" s="28" t="s">
        <v>61</v>
      </c>
      <c r="C34" s="31" t="s">
        <v>26</v>
      </c>
      <c r="D34" s="31" t="s">
        <v>75</v>
      </c>
      <c r="E34" s="38">
        <v>45838</v>
      </c>
      <c r="F34" s="39">
        <v>45876</v>
      </c>
      <c r="G34" s="31" t="s">
        <v>123</v>
      </c>
      <c r="H34" s="31" t="s">
        <v>153</v>
      </c>
      <c r="I34" s="31" t="s">
        <v>154</v>
      </c>
      <c r="J34" s="7"/>
      <c r="K34" s="7"/>
      <c r="L34" s="7"/>
      <c r="M34" s="40"/>
      <c r="N34" s="18"/>
      <c r="O34" s="40"/>
      <c r="P34" s="40">
        <v>1</v>
      </c>
      <c r="Q34" s="7"/>
      <c r="R34" s="41">
        <v>5285</v>
      </c>
      <c r="S34" s="41">
        <v>5685</v>
      </c>
      <c r="T34" s="14"/>
      <c r="U34" s="14"/>
      <c r="V34" s="16">
        <v>100</v>
      </c>
      <c r="W34" s="15">
        <v>25</v>
      </c>
      <c r="X34" s="41">
        <v>400</v>
      </c>
    </row>
    <row r="35" spans="1:24" ht="15">
      <c r="A35" s="6">
        <v>33</v>
      </c>
      <c r="B35" s="28" t="s">
        <v>61</v>
      </c>
      <c r="C35" s="31" t="s">
        <v>26</v>
      </c>
      <c r="D35" s="31" t="s">
        <v>75</v>
      </c>
      <c r="E35" s="38">
        <v>45838</v>
      </c>
      <c r="F35" s="39">
        <v>45876</v>
      </c>
      <c r="G35" s="31" t="s">
        <v>123</v>
      </c>
      <c r="H35" s="31" t="s">
        <v>155</v>
      </c>
      <c r="I35" s="31" t="s">
        <v>156</v>
      </c>
      <c r="J35" s="7"/>
      <c r="K35" s="7"/>
      <c r="L35" s="7"/>
      <c r="M35" s="40"/>
      <c r="N35" s="18"/>
      <c r="O35" s="40"/>
      <c r="P35" s="40">
        <v>1</v>
      </c>
      <c r="Q35" s="7"/>
      <c r="R35" s="41">
        <v>5285</v>
      </c>
      <c r="S35" s="41">
        <v>5685</v>
      </c>
      <c r="T35" s="14"/>
      <c r="U35" s="14"/>
      <c r="V35" s="16">
        <v>100</v>
      </c>
      <c r="W35" s="15">
        <v>25</v>
      </c>
      <c r="X35" s="41">
        <v>400</v>
      </c>
    </row>
    <row r="36" spans="1:24" ht="15">
      <c r="A36" s="6">
        <v>34</v>
      </c>
      <c r="B36" s="28" t="s">
        <v>61</v>
      </c>
      <c r="C36" s="31" t="s">
        <v>26</v>
      </c>
      <c r="D36" s="31" t="s">
        <v>75</v>
      </c>
      <c r="E36" s="38">
        <v>45838</v>
      </c>
      <c r="F36" s="39">
        <v>45876</v>
      </c>
      <c r="G36" s="31" t="s">
        <v>123</v>
      </c>
      <c r="H36" s="31" t="s">
        <v>157</v>
      </c>
      <c r="I36" s="31" t="s">
        <v>158</v>
      </c>
      <c r="J36" s="7"/>
      <c r="K36" s="7"/>
      <c r="L36" s="7"/>
      <c r="M36" s="40"/>
      <c r="N36" s="18"/>
      <c r="O36" s="40"/>
      <c r="P36" s="40">
        <v>1</v>
      </c>
      <c r="Q36" s="7"/>
      <c r="R36" s="41">
        <v>5285</v>
      </c>
      <c r="S36" s="41">
        <v>5685</v>
      </c>
      <c r="T36" s="14"/>
      <c r="U36" s="14"/>
      <c r="V36" s="16">
        <v>100</v>
      </c>
      <c r="W36" s="15">
        <v>25</v>
      </c>
      <c r="X36" s="41">
        <v>400</v>
      </c>
    </row>
    <row r="37" spans="1:24" ht="15">
      <c r="A37" s="118"/>
      <c r="B37" s="118"/>
      <c r="C37" s="118"/>
      <c r="D37" s="23"/>
      <c r="E37" s="24"/>
      <c r="F37" s="24"/>
      <c r="G37" s="24"/>
      <c r="H37" s="24"/>
      <c r="I37" s="24"/>
      <c r="J37" s="25" t="s">
        <v>74</v>
      </c>
      <c r="K37" s="25" t="s">
        <v>74</v>
      </c>
      <c r="L37" s="25" t="s">
        <v>74</v>
      </c>
      <c r="M37" s="25">
        <f t="shared" ref="M37:P37" si="0">SUM(M3:M36)</f>
        <v>8</v>
      </c>
      <c r="N37" s="25">
        <f t="shared" si="0"/>
        <v>0</v>
      </c>
      <c r="O37" s="25">
        <f t="shared" si="0"/>
        <v>8</v>
      </c>
      <c r="P37" s="25">
        <f t="shared" si="0"/>
        <v>22</v>
      </c>
      <c r="Q37" s="25" t="s">
        <v>74</v>
      </c>
      <c r="R37" s="26">
        <f>SUM(R3:R36)</f>
        <v>187647.33999999997</v>
      </c>
      <c r="S37" s="26">
        <f>SUM(S3:S36)</f>
        <v>201539.14799999999</v>
      </c>
      <c r="T37" s="27">
        <f>SUM(T17:T36)</f>
        <v>0</v>
      </c>
      <c r="U37" s="27">
        <f>SUM(U17:U36)</f>
        <v>0</v>
      </c>
      <c r="V37" s="27">
        <f>SUM(V17:V36)</f>
        <v>1315</v>
      </c>
      <c r="W37" s="27">
        <f>SUM(W17:W36)</f>
        <v>340</v>
      </c>
      <c r="X37" s="27">
        <f>SUM(X3:X36)</f>
        <v>14292.276000000002</v>
      </c>
    </row>
  </sheetData>
  <mergeCells count="16">
    <mergeCell ref="T1:T2"/>
    <mergeCell ref="U1:W1"/>
    <mergeCell ref="X1:X2"/>
    <mergeCell ref="A37:C37"/>
    <mergeCell ref="G1:G2"/>
    <mergeCell ref="H1:H2"/>
    <mergeCell ref="I1:I2"/>
    <mergeCell ref="J1:Q1"/>
    <mergeCell ref="R1:R2"/>
    <mergeCell ref="S1:S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851E-77F0-4146-A88E-0AAA5D5B429F}">
  <dimension ref="A1:X22"/>
  <sheetViews>
    <sheetView workbookViewId="0">
      <selection activeCell="E31" sqref="E31"/>
    </sheetView>
  </sheetViews>
  <sheetFormatPr defaultColWidth="8.85546875" defaultRowHeight="12.75"/>
  <cols>
    <col min="2" max="2" width="22.5703125" customWidth="1"/>
    <col min="4" max="4" width="23.140625" customWidth="1"/>
    <col min="5" max="6" width="10.7109375" customWidth="1"/>
    <col min="7" max="7" width="10" customWidth="1"/>
    <col min="8" max="8" width="14.140625" customWidth="1"/>
    <col min="9" max="9" width="13" customWidth="1"/>
    <col min="18" max="19" width="10.7109375" customWidth="1"/>
  </cols>
  <sheetData>
    <row r="1" spans="1:24" ht="15">
      <c r="A1" s="120" t="s">
        <v>0</v>
      </c>
      <c r="B1" s="123" t="s">
        <v>1</v>
      </c>
      <c r="C1" s="119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6" t="s">
        <v>7</v>
      </c>
      <c r="I1" s="116" t="s">
        <v>8</v>
      </c>
      <c r="J1" s="120" t="s">
        <v>9</v>
      </c>
      <c r="K1" s="120"/>
      <c r="L1" s="120"/>
      <c r="M1" s="120"/>
      <c r="N1" s="120"/>
      <c r="O1" s="120"/>
      <c r="P1" s="120"/>
      <c r="Q1" s="120"/>
      <c r="R1" s="121" t="s">
        <v>10</v>
      </c>
      <c r="S1" s="122" t="s">
        <v>11</v>
      </c>
      <c r="T1" s="113" t="s">
        <v>12</v>
      </c>
      <c r="U1" s="115" t="s">
        <v>13</v>
      </c>
      <c r="V1" s="115"/>
      <c r="W1" s="115"/>
      <c r="X1" s="116" t="s">
        <v>14</v>
      </c>
    </row>
    <row r="2" spans="1:24" ht="15">
      <c r="A2" s="120"/>
      <c r="B2" s="124"/>
      <c r="C2" s="120"/>
      <c r="D2" s="119"/>
      <c r="E2" s="119"/>
      <c r="F2" s="119"/>
      <c r="G2" s="120"/>
      <c r="H2" s="116"/>
      <c r="I2" s="116"/>
      <c r="J2" s="2" t="s">
        <v>15</v>
      </c>
      <c r="K2" s="3" t="s">
        <v>16</v>
      </c>
      <c r="L2" s="3" t="s">
        <v>17</v>
      </c>
      <c r="M2" s="4" t="s">
        <v>18</v>
      </c>
      <c r="N2" s="5" t="s">
        <v>19</v>
      </c>
      <c r="O2" s="4" t="s">
        <v>20</v>
      </c>
      <c r="P2" s="4" t="s">
        <v>21</v>
      </c>
      <c r="Q2" s="4">
        <v>45</v>
      </c>
      <c r="R2" s="121"/>
      <c r="S2" s="122"/>
      <c r="T2" s="114"/>
      <c r="U2" s="1" t="s">
        <v>22</v>
      </c>
      <c r="V2" s="1" t="s">
        <v>23</v>
      </c>
      <c r="W2" s="1" t="s">
        <v>24</v>
      </c>
      <c r="X2" s="117"/>
    </row>
    <row r="3" spans="1:24" ht="15">
      <c r="A3" s="6">
        <v>1</v>
      </c>
      <c r="B3" s="9" t="s">
        <v>61</v>
      </c>
      <c r="C3" s="9" t="s">
        <v>26</v>
      </c>
      <c r="D3" s="10" t="s">
        <v>159</v>
      </c>
      <c r="E3" s="42">
        <v>45839</v>
      </c>
      <c r="F3" s="43">
        <v>45878</v>
      </c>
      <c r="G3" s="9" t="s">
        <v>123</v>
      </c>
      <c r="H3" s="10" t="s">
        <v>160</v>
      </c>
      <c r="I3" s="10" t="s">
        <v>161</v>
      </c>
      <c r="J3" s="32"/>
      <c r="K3" s="33"/>
      <c r="L3" s="33"/>
      <c r="M3" s="34"/>
      <c r="N3" s="44"/>
      <c r="O3" s="45"/>
      <c r="P3" s="44">
        <v>1</v>
      </c>
      <c r="Q3" s="36"/>
      <c r="R3" s="46">
        <v>6750.9809999999998</v>
      </c>
      <c r="S3" s="46">
        <v>6922.98</v>
      </c>
      <c r="T3" s="14"/>
      <c r="U3" s="15">
        <v>100</v>
      </c>
      <c r="V3" s="47">
        <v>37.5</v>
      </c>
      <c r="W3" s="15">
        <v>37.5</v>
      </c>
      <c r="X3" s="37">
        <v>171.999</v>
      </c>
    </row>
    <row r="4" spans="1:24" ht="15">
      <c r="A4" s="6">
        <v>2</v>
      </c>
      <c r="B4" s="9" t="s">
        <v>61</v>
      </c>
      <c r="C4" s="22" t="s">
        <v>26</v>
      </c>
      <c r="D4" s="18" t="s">
        <v>75</v>
      </c>
      <c r="E4" s="48">
        <v>45842</v>
      </c>
      <c r="F4" s="49">
        <v>45881</v>
      </c>
      <c r="G4" s="22" t="s">
        <v>123</v>
      </c>
      <c r="H4" s="18" t="s">
        <v>162</v>
      </c>
      <c r="I4" s="18" t="s">
        <v>163</v>
      </c>
      <c r="J4" s="32"/>
      <c r="K4" s="33"/>
      <c r="L4" s="33"/>
      <c r="M4" s="40"/>
      <c r="N4" s="50"/>
      <c r="O4" s="51"/>
      <c r="P4" s="50">
        <v>1</v>
      </c>
      <c r="Q4" s="36"/>
      <c r="R4" s="52">
        <v>5453.2209999999995</v>
      </c>
      <c r="S4" s="52">
        <v>5700.3</v>
      </c>
      <c r="T4" s="14"/>
      <c r="U4" s="15">
        <v>100</v>
      </c>
      <c r="V4" s="53">
        <v>150</v>
      </c>
      <c r="W4" s="15">
        <v>40</v>
      </c>
      <c r="X4" s="41">
        <v>247.07900000000001</v>
      </c>
    </row>
    <row r="5" spans="1:24" ht="15">
      <c r="A5" s="6">
        <v>3</v>
      </c>
      <c r="B5" s="9" t="s">
        <v>61</v>
      </c>
      <c r="C5" s="22" t="s">
        <v>26</v>
      </c>
      <c r="D5" s="18" t="s">
        <v>75</v>
      </c>
      <c r="E5" s="48">
        <v>45842</v>
      </c>
      <c r="F5" s="49">
        <v>45881</v>
      </c>
      <c r="G5" s="22" t="s">
        <v>123</v>
      </c>
      <c r="H5" s="18" t="s">
        <v>164</v>
      </c>
      <c r="I5" s="18" t="s">
        <v>165</v>
      </c>
      <c r="J5" s="32"/>
      <c r="K5" s="33"/>
      <c r="L5" s="33"/>
      <c r="M5" s="40"/>
      <c r="N5" s="50"/>
      <c r="O5" s="51"/>
      <c r="P5" s="50">
        <v>1</v>
      </c>
      <c r="Q5" s="36"/>
      <c r="R5" s="52">
        <v>5453.24</v>
      </c>
      <c r="S5" s="52">
        <v>5700.32</v>
      </c>
      <c r="T5" s="14"/>
      <c r="U5" s="15">
        <v>100</v>
      </c>
      <c r="V5" s="53">
        <v>150</v>
      </c>
      <c r="W5" s="15">
        <v>40</v>
      </c>
      <c r="X5" s="41">
        <v>247.08</v>
      </c>
    </row>
    <row r="6" spans="1:24" ht="15">
      <c r="A6" s="6">
        <v>4</v>
      </c>
      <c r="B6" s="9" t="s">
        <v>61</v>
      </c>
      <c r="C6" s="22" t="s">
        <v>26</v>
      </c>
      <c r="D6" s="18" t="s">
        <v>75</v>
      </c>
      <c r="E6" s="48">
        <v>45842</v>
      </c>
      <c r="F6" s="49">
        <v>45881</v>
      </c>
      <c r="G6" s="22" t="s">
        <v>123</v>
      </c>
      <c r="H6" s="18" t="s">
        <v>166</v>
      </c>
      <c r="I6" s="18" t="s">
        <v>167</v>
      </c>
      <c r="J6" s="32"/>
      <c r="K6" s="33"/>
      <c r="L6" s="33"/>
      <c r="M6" s="40"/>
      <c r="N6" s="50"/>
      <c r="O6" s="51"/>
      <c r="P6" s="50">
        <v>1</v>
      </c>
      <c r="Q6" s="36"/>
      <c r="R6" s="52">
        <v>5438.6090000000004</v>
      </c>
      <c r="S6" s="52">
        <v>5685</v>
      </c>
      <c r="T6" s="14"/>
      <c r="U6" s="15">
        <v>100</v>
      </c>
      <c r="V6" s="53">
        <v>150</v>
      </c>
      <c r="W6" s="15">
        <v>40</v>
      </c>
      <c r="X6" s="41">
        <v>246.39099999999999</v>
      </c>
    </row>
    <row r="7" spans="1:24" ht="15">
      <c r="A7" s="6">
        <v>5</v>
      </c>
      <c r="B7" s="9" t="s">
        <v>61</v>
      </c>
      <c r="C7" s="22" t="s">
        <v>26</v>
      </c>
      <c r="D7" s="18" t="s">
        <v>75</v>
      </c>
      <c r="E7" s="48">
        <v>45842</v>
      </c>
      <c r="F7" s="49">
        <v>45881</v>
      </c>
      <c r="G7" s="22" t="s">
        <v>123</v>
      </c>
      <c r="H7" s="18" t="s">
        <v>168</v>
      </c>
      <c r="I7" s="18" t="s">
        <v>169</v>
      </c>
      <c r="J7" s="32"/>
      <c r="K7" s="33"/>
      <c r="L7" s="33"/>
      <c r="M7" s="40"/>
      <c r="N7" s="50"/>
      <c r="O7" s="51"/>
      <c r="P7" s="50">
        <v>1</v>
      </c>
      <c r="Q7" s="36"/>
      <c r="R7" s="52">
        <v>5438.6090000000004</v>
      </c>
      <c r="S7" s="52">
        <v>5685</v>
      </c>
      <c r="T7" s="14"/>
      <c r="U7" s="15">
        <v>100</v>
      </c>
      <c r="V7" s="53">
        <v>150</v>
      </c>
      <c r="W7" s="15">
        <v>40</v>
      </c>
      <c r="X7" s="41">
        <v>246.39099999999999</v>
      </c>
    </row>
    <row r="8" spans="1:24" ht="15">
      <c r="A8" s="6">
        <v>6</v>
      </c>
      <c r="B8" s="9" t="s">
        <v>61</v>
      </c>
      <c r="C8" s="22" t="s">
        <v>26</v>
      </c>
      <c r="D8" s="18" t="s">
        <v>75</v>
      </c>
      <c r="E8" s="48">
        <v>45842</v>
      </c>
      <c r="F8" s="49">
        <v>45881</v>
      </c>
      <c r="G8" s="22" t="s">
        <v>123</v>
      </c>
      <c r="H8" s="18" t="s">
        <v>170</v>
      </c>
      <c r="I8" s="18" t="s">
        <v>171</v>
      </c>
      <c r="J8" s="32"/>
      <c r="K8" s="33"/>
      <c r="L8" s="33"/>
      <c r="M8" s="40"/>
      <c r="N8" s="50"/>
      <c r="O8" s="51"/>
      <c r="P8" s="50">
        <v>1</v>
      </c>
      <c r="Q8" s="36"/>
      <c r="R8" s="52">
        <v>5438.6090000000004</v>
      </c>
      <c r="S8" s="52">
        <v>5685</v>
      </c>
      <c r="T8" s="14"/>
      <c r="U8" s="15">
        <v>100</v>
      </c>
      <c r="V8" s="53">
        <v>150</v>
      </c>
      <c r="W8" s="15">
        <v>40</v>
      </c>
      <c r="X8" s="41">
        <v>246.39099999999999</v>
      </c>
    </row>
    <row r="9" spans="1:24" ht="15">
      <c r="A9" s="6">
        <v>7</v>
      </c>
      <c r="B9" s="22" t="s">
        <v>172</v>
      </c>
      <c r="C9" s="22" t="s">
        <v>26</v>
      </c>
      <c r="D9" s="18" t="s">
        <v>102</v>
      </c>
      <c r="E9" s="48">
        <v>45844</v>
      </c>
      <c r="F9" s="49">
        <v>45865</v>
      </c>
      <c r="G9" s="22" t="s">
        <v>103</v>
      </c>
      <c r="H9" s="18" t="s">
        <v>173</v>
      </c>
      <c r="I9" s="18" t="s">
        <v>174</v>
      </c>
      <c r="J9" s="32"/>
      <c r="K9" s="33"/>
      <c r="L9" s="33"/>
      <c r="M9" s="40">
        <v>1</v>
      </c>
      <c r="N9" s="50"/>
      <c r="O9" s="51"/>
      <c r="P9" s="50"/>
      <c r="Q9" s="36"/>
      <c r="R9" s="52">
        <v>2223.6379999999999</v>
      </c>
      <c r="S9" s="52">
        <v>2405</v>
      </c>
      <c r="T9" s="14"/>
      <c r="U9" s="15"/>
      <c r="V9" s="53">
        <v>25</v>
      </c>
      <c r="W9" s="15">
        <v>6.25</v>
      </c>
      <c r="X9" s="41">
        <v>181.36199999999999</v>
      </c>
    </row>
    <row r="10" spans="1:24" ht="15">
      <c r="A10" s="6">
        <v>8</v>
      </c>
      <c r="B10" s="22" t="s">
        <v>106</v>
      </c>
      <c r="C10" s="22" t="s">
        <v>175</v>
      </c>
      <c r="D10" s="18" t="s">
        <v>176</v>
      </c>
      <c r="E10" s="48">
        <v>45844</v>
      </c>
      <c r="F10" s="49">
        <v>45903</v>
      </c>
      <c r="G10" s="22" t="s">
        <v>36</v>
      </c>
      <c r="H10" s="18" t="s">
        <v>177</v>
      </c>
      <c r="I10" s="18" t="s">
        <v>178</v>
      </c>
      <c r="J10" s="32"/>
      <c r="K10" s="33"/>
      <c r="L10" s="33"/>
      <c r="M10" s="40">
        <v>1</v>
      </c>
      <c r="N10" s="50"/>
      <c r="O10" s="51"/>
      <c r="P10" s="50"/>
      <c r="Q10" s="36"/>
      <c r="R10" s="52">
        <v>4418.4690000000001</v>
      </c>
      <c r="S10" s="52">
        <v>4725</v>
      </c>
      <c r="T10" s="14"/>
      <c r="U10" s="15"/>
      <c r="V10" s="53">
        <v>35</v>
      </c>
      <c r="W10" s="15">
        <v>8.75</v>
      </c>
      <c r="X10" s="41">
        <v>306.53100000000001</v>
      </c>
    </row>
    <row r="11" spans="1:24" ht="15">
      <c r="A11" s="6">
        <v>9</v>
      </c>
      <c r="B11" s="9" t="s">
        <v>61</v>
      </c>
      <c r="C11" s="22" t="s">
        <v>34</v>
      </c>
      <c r="D11" s="18" t="s">
        <v>179</v>
      </c>
      <c r="E11" s="48">
        <v>45844</v>
      </c>
      <c r="F11" s="49">
        <v>45870</v>
      </c>
      <c r="G11" s="22" t="s">
        <v>123</v>
      </c>
      <c r="H11" s="18" t="s">
        <v>180</v>
      </c>
      <c r="I11" s="18" t="s">
        <v>181</v>
      </c>
      <c r="J11" s="32"/>
      <c r="K11" s="33"/>
      <c r="L11" s="33"/>
      <c r="M11" s="40"/>
      <c r="N11" s="50"/>
      <c r="O11" s="51"/>
      <c r="P11" s="50">
        <v>1</v>
      </c>
      <c r="Q11" s="36"/>
      <c r="R11" s="52">
        <v>6671.6130000000003</v>
      </c>
      <c r="S11" s="52">
        <v>6785</v>
      </c>
      <c r="T11" s="14"/>
      <c r="U11" s="15"/>
      <c r="V11" s="53">
        <v>100</v>
      </c>
      <c r="W11" s="15">
        <v>25</v>
      </c>
      <c r="X11" s="41">
        <v>113.387</v>
      </c>
    </row>
    <row r="12" spans="1:24" ht="15">
      <c r="A12" s="6">
        <v>10</v>
      </c>
      <c r="B12" s="22" t="s">
        <v>25</v>
      </c>
      <c r="C12" s="22" t="s">
        <v>26</v>
      </c>
      <c r="D12" s="18" t="s">
        <v>84</v>
      </c>
      <c r="E12" s="48">
        <v>45844</v>
      </c>
      <c r="F12" s="49">
        <v>45868</v>
      </c>
      <c r="G12" s="22" t="s">
        <v>111</v>
      </c>
      <c r="H12" s="18" t="s">
        <v>182</v>
      </c>
      <c r="I12" s="18" t="s">
        <v>183</v>
      </c>
      <c r="J12" s="32"/>
      <c r="K12" s="33"/>
      <c r="L12" s="33"/>
      <c r="M12" s="40"/>
      <c r="N12" s="50"/>
      <c r="O12" s="51">
        <v>1</v>
      </c>
      <c r="P12" s="50"/>
      <c r="Q12" s="36"/>
      <c r="R12" s="52">
        <v>2250.4569999999999</v>
      </c>
      <c r="S12" s="52">
        <v>2355</v>
      </c>
      <c r="T12" s="14"/>
      <c r="U12" s="15"/>
      <c r="V12" s="53">
        <v>50</v>
      </c>
      <c r="W12" s="15">
        <v>12.5</v>
      </c>
      <c r="X12" s="41">
        <v>104.54300000000001</v>
      </c>
    </row>
    <row r="13" spans="1:24" ht="15">
      <c r="A13" s="6">
        <v>11</v>
      </c>
      <c r="B13" s="22" t="s">
        <v>67</v>
      </c>
      <c r="C13" s="22" t="s">
        <v>34</v>
      </c>
      <c r="D13" s="18" t="s">
        <v>95</v>
      </c>
      <c r="E13" s="48">
        <v>45846</v>
      </c>
      <c r="F13" s="49">
        <v>45883</v>
      </c>
      <c r="G13" s="22" t="s">
        <v>111</v>
      </c>
      <c r="H13" s="18" t="s">
        <v>184</v>
      </c>
      <c r="I13" s="18" t="s">
        <v>185</v>
      </c>
      <c r="J13" s="32"/>
      <c r="K13" s="33"/>
      <c r="L13" s="33"/>
      <c r="M13" s="40">
        <v>2</v>
      </c>
      <c r="N13" s="50"/>
      <c r="O13" s="51"/>
      <c r="P13" s="50"/>
      <c r="Q13" s="36"/>
      <c r="R13" s="52">
        <v>7905.9650000000001</v>
      </c>
      <c r="S13" s="52">
        <v>8205</v>
      </c>
      <c r="T13" s="14"/>
      <c r="U13" s="15"/>
      <c r="V13" s="53">
        <v>100</v>
      </c>
      <c r="W13" s="15">
        <v>25</v>
      </c>
      <c r="X13" s="41">
        <v>299.03500000000003</v>
      </c>
    </row>
    <row r="14" spans="1:24" ht="15">
      <c r="A14" s="6">
        <v>12</v>
      </c>
      <c r="B14" s="22" t="s">
        <v>172</v>
      </c>
      <c r="C14" s="22" t="s">
        <v>26</v>
      </c>
      <c r="D14" s="18" t="s">
        <v>186</v>
      </c>
      <c r="E14" s="48">
        <v>45846</v>
      </c>
      <c r="F14" s="49">
        <v>45897</v>
      </c>
      <c r="G14" s="22" t="s">
        <v>36</v>
      </c>
      <c r="H14" s="18" t="s">
        <v>187</v>
      </c>
      <c r="I14" s="18" t="s">
        <v>188</v>
      </c>
      <c r="J14" s="32"/>
      <c r="K14" s="33"/>
      <c r="L14" s="33"/>
      <c r="M14" s="40">
        <v>1</v>
      </c>
      <c r="N14" s="50"/>
      <c r="O14" s="51"/>
      <c r="P14" s="50"/>
      <c r="Q14" s="36"/>
      <c r="R14" s="52">
        <v>3263.7809999999999</v>
      </c>
      <c r="S14" s="52">
        <v>4410</v>
      </c>
      <c r="T14" s="14"/>
      <c r="U14" s="15"/>
      <c r="V14" s="53">
        <v>90</v>
      </c>
      <c r="W14" s="15">
        <v>22.5</v>
      </c>
      <c r="X14" s="41">
        <v>1146.2190000000001</v>
      </c>
    </row>
    <row r="15" spans="1:24" ht="15">
      <c r="A15" s="6">
        <v>13</v>
      </c>
      <c r="B15" s="22" t="s">
        <v>106</v>
      </c>
      <c r="C15" s="22" t="s">
        <v>34</v>
      </c>
      <c r="D15" s="18" t="s">
        <v>189</v>
      </c>
      <c r="E15" s="48">
        <v>45851</v>
      </c>
      <c r="F15" s="49">
        <v>45892</v>
      </c>
      <c r="G15" s="22" t="s">
        <v>36</v>
      </c>
      <c r="H15" s="18" t="s">
        <v>190</v>
      </c>
      <c r="I15" s="18" t="s">
        <v>191</v>
      </c>
      <c r="J15" s="7"/>
      <c r="K15" s="7"/>
      <c r="L15" s="7"/>
      <c r="M15" s="40">
        <v>2</v>
      </c>
      <c r="N15" s="50"/>
      <c r="O15" s="51"/>
      <c r="P15" s="50"/>
      <c r="Q15" s="7"/>
      <c r="R15" s="52">
        <v>4901.902</v>
      </c>
      <c r="S15" s="52">
        <v>5715</v>
      </c>
      <c r="T15" s="14"/>
      <c r="U15" s="15"/>
      <c r="V15" s="53">
        <v>150</v>
      </c>
      <c r="W15" s="15">
        <v>37.5</v>
      </c>
      <c r="X15" s="41">
        <v>813.09799999999996</v>
      </c>
    </row>
    <row r="16" spans="1:24" ht="15">
      <c r="A16" s="6">
        <v>14</v>
      </c>
      <c r="B16" s="22" t="s">
        <v>67</v>
      </c>
      <c r="C16" s="22" t="s">
        <v>34</v>
      </c>
      <c r="D16" s="18" t="s">
        <v>95</v>
      </c>
      <c r="E16" s="48">
        <v>45853</v>
      </c>
      <c r="F16" s="49">
        <v>45880</v>
      </c>
      <c r="G16" s="22" t="s">
        <v>62</v>
      </c>
      <c r="H16" s="18" t="s">
        <v>192</v>
      </c>
      <c r="I16" s="18" t="s">
        <v>193</v>
      </c>
      <c r="J16" s="7"/>
      <c r="K16" s="7"/>
      <c r="L16" s="7"/>
      <c r="M16" s="40">
        <v>2</v>
      </c>
      <c r="N16" s="50"/>
      <c r="O16" s="51"/>
      <c r="P16" s="50"/>
      <c r="Q16" s="7"/>
      <c r="R16" s="52">
        <v>6059.94</v>
      </c>
      <c r="S16" s="52">
        <v>6905</v>
      </c>
      <c r="T16" s="14"/>
      <c r="U16" s="15"/>
      <c r="V16" s="53">
        <v>200</v>
      </c>
      <c r="W16" s="15">
        <v>50</v>
      </c>
      <c r="X16" s="41">
        <v>845.06</v>
      </c>
    </row>
    <row r="17" spans="1:24" ht="15">
      <c r="A17" s="6">
        <v>15</v>
      </c>
      <c r="B17" s="22" t="s">
        <v>25</v>
      </c>
      <c r="C17" s="22" t="s">
        <v>26</v>
      </c>
      <c r="D17" s="18" t="s">
        <v>27</v>
      </c>
      <c r="E17" s="48">
        <v>45855</v>
      </c>
      <c r="F17" s="49">
        <v>45873</v>
      </c>
      <c r="G17" s="22" t="s">
        <v>28</v>
      </c>
      <c r="H17" s="18" t="s">
        <v>194</v>
      </c>
      <c r="I17" s="18" t="s">
        <v>195</v>
      </c>
      <c r="J17" s="7"/>
      <c r="K17" s="7"/>
      <c r="L17" s="7"/>
      <c r="M17" s="40"/>
      <c r="N17" s="50"/>
      <c r="O17" s="51">
        <v>1</v>
      </c>
      <c r="P17" s="50"/>
      <c r="Q17" s="7"/>
      <c r="R17" s="52">
        <v>2066.098</v>
      </c>
      <c r="S17" s="52">
        <v>2125</v>
      </c>
      <c r="T17" s="14"/>
      <c r="U17" s="15"/>
      <c r="V17" s="53"/>
      <c r="W17" s="15"/>
      <c r="X17" s="41">
        <v>58.902000000000001</v>
      </c>
    </row>
    <row r="18" spans="1:24" ht="15">
      <c r="A18" s="6">
        <v>16</v>
      </c>
      <c r="B18" s="22" t="s">
        <v>25</v>
      </c>
      <c r="C18" s="22" t="s">
        <v>26</v>
      </c>
      <c r="D18" s="18" t="s">
        <v>27</v>
      </c>
      <c r="E18" s="48">
        <v>45855</v>
      </c>
      <c r="F18" s="49">
        <v>45873</v>
      </c>
      <c r="G18" s="22" t="s">
        <v>28</v>
      </c>
      <c r="H18" s="18" t="s">
        <v>196</v>
      </c>
      <c r="I18" s="18" t="s">
        <v>197</v>
      </c>
      <c r="J18" s="7"/>
      <c r="K18" s="7"/>
      <c r="L18" s="7"/>
      <c r="M18" s="40"/>
      <c r="N18" s="50"/>
      <c r="O18" s="51">
        <v>1</v>
      </c>
      <c r="P18" s="50"/>
      <c r="Q18" s="7"/>
      <c r="R18" s="52">
        <v>2066.098</v>
      </c>
      <c r="S18" s="52">
        <v>2125</v>
      </c>
      <c r="T18" s="14"/>
      <c r="U18" s="15"/>
      <c r="V18" s="53"/>
      <c r="W18" s="15"/>
      <c r="X18" s="41">
        <v>58.902000000000001</v>
      </c>
    </row>
    <row r="19" spans="1:24" ht="15">
      <c r="A19" s="6">
        <v>17</v>
      </c>
      <c r="B19" s="9" t="s">
        <v>61</v>
      </c>
      <c r="C19" s="22" t="s">
        <v>34</v>
      </c>
      <c r="D19" s="18" t="s">
        <v>179</v>
      </c>
      <c r="E19" s="48">
        <v>45865</v>
      </c>
      <c r="F19" s="49">
        <v>45916</v>
      </c>
      <c r="G19" s="22" t="s">
        <v>36</v>
      </c>
      <c r="H19" s="18" t="s">
        <v>198</v>
      </c>
      <c r="I19" s="18" t="s">
        <v>199</v>
      </c>
      <c r="J19" s="7"/>
      <c r="K19" s="7"/>
      <c r="L19" s="7"/>
      <c r="M19" s="40"/>
      <c r="N19" s="50"/>
      <c r="O19" s="51"/>
      <c r="P19" s="50">
        <v>1</v>
      </c>
      <c r="Q19" s="7"/>
      <c r="R19" s="52">
        <v>6195</v>
      </c>
      <c r="S19" s="52">
        <v>6245</v>
      </c>
      <c r="T19" s="14"/>
      <c r="U19" s="15"/>
      <c r="V19" s="53"/>
      <c r="W19" s="15"/>
      <c r="X19" s="41">
        <v>62</v>
      </c>
    </row>
    <row r="20" spans="1:24" ht="15">
      <c r="A20" s="6">
        <v>18</v>
      </c>
      <c r="B20" s="22" t="s">
        <v>25</v>
      </c>
      <c r="C20" s="22" t="s">
        <v>26</v>
      </c>
      <c r="D20" s="18" t="s">
        <v>27</v>
      </c>
      <c r="E20" s="48">
        <v>45866</v>
      </c>
      <c r="F20" s="49">
        <v>45885</v>
      </c>
      <c r="G20" s="22" t="s">
        <v>28</v>
      </c>
      <c r="H20" s="18" t="s">
        <v>200</v>
      </c>
      <c r="I20" s="18" t="s">
        <v>201</v>
      </c>
      <c r="J20" s="7"/>
      <c r="K20" s="7"/>
      <c r="L20" s="7"/>
      <c r="M20" s="40"/>
      <c r="N20" s="50"/>
      <c r="O20" s="51">
        <v>1</v>
      </c>
      <c r="P20" s="50"/>
      <c r="Q20" s="7"/>
      <c r="R20" s="52">
        <v>2005</v>
      </c>
      <c r="S20" s="52">
        <v>2025</v>
      </c>
      <c r="T20" s="14"/>
      <c r="U20" s="15"/>
      <c r="V20" s="53"/>
      <c r="W20" s="15"/>
      <c r="X20" s="41">
        <v>20</v>
      </c>
    </row>
    <row r="21" spans="1:24" ht="15">
      <c r="A21" s="6">
        <v>19</v>
      </c>
      <c r="B21" s="22" t="s">
        <v>25</v>
      </c>
      <c r="C21" s="22" t="s">
        <v>26</v>
      </c>
      <c r="D21" s="18" t="s">
        <v>27</v>
      </c>
      <c r="E21" s="48">
        <v>45866</v>
      </c>
      <c r="F21" s="49">
        <v>45885</v>
      </c>
      <c r="G21" s="22" t="s">
        <v>28</v>
      </c>
      <c r="H21" s="18" t="s">
        <v>202</v>
      </c>
      <c r="I21" s="18" t="s">
        <v>203</v>
      </c>
      <c r="J21" s="7"/>
      <c r="K21" s="7"/>
      <c r="L21" s="7"/>
      <c r="M21" s="40"/>
      <c r="N21" s="50"/>
      <c r="O21" s="51">
        <v>1</v>
      </c>
      <c r="P21" s="50"/>
      <c r="Q21" s="7"/>
      <c r="R21" s="52">
        <v>2005</v>
      </c>
      <c r="S21" s="52">
        <v>2025</v>
      </c>
      <c r="T21" s="14"/>
      <c r="U21" s="15"/>
      <c r="V21" s="53">
        <v>10</v>
      </c>
      <c r="W21" s="15"/>
      <c r="X21" s="41">
        <v>20</v>
      </c>
    </row>
    <row r="22" spans="1:24" ht="15">
      <c r="A22" s="118"/>
      <c r="B22" s="118"/>
      <c r="C22" s="118"/>
      <c r="D22" s="23"/>
      <c r="E22" s="24"/>
      <c r="F22" s="24"/>
      <c r="G22" s="24"/>
      <c r="H22" s="24"/>
      <c r="I22" s="24"/>
      <c r="J22" s="25" t="s">
        <v>74</v>
      </c>
      <c r="K22" s="25" t="s">
        <v>74</v>
      </c>
      <c r="L22" s="25" t="s">
        <v>74</v>
      </c>
      <c r="M22" s="25">
        <f>SUM(M3:M21)</f>
        <v>9</v>
      </c>
      <c r="N22" s="25">
        <f>SUM(N3:N21)</f>
        <v>0</v>
      </c>
      <c r="O22" s="25">
        <f>SUM(O3:O21)</f>
        <v>5</v>
      </c>
      <c r="P22" s="25">
        <f>SUM(P3:P21)</f>
        <v>8</v>
      </c>
      <c r="Q22" s="25" t="s">
        <v>74</v>
      </c>
      <c r="R22" s="26">
        <f>SUM(R3:R21)</f>
        <v>86006.23</v>
      </c>
      <c r="S22" s="26">
        <f>SUM(S3:S21)</f>
        <v>91428.6</v>
      </c>
      <c r="T22" s="27">
        <f>SUM(T18:T21)</f>
        <v>0</v>
      </c>
      <c r="U22" s="27">
        <f>SUM(U18:U21)</f>
        <v>0</v>
      </c>
      <c r="V22" s="27">
        <f>SUM(V18:V21)</f>
        <v>10</v>
      </c>
      <c r="W22" s="27">
        <f>SUM(W18:W21)</f>
        <v>0</v>
      </c>
      <c r="X22" s="27">
        <f>SUM(X3:X21)</f>
        <v>5434.369999999999</v>
      </c>
    </row>
  </sheetData>
  <mergeCells count="16">
    <mergeCell ref="T1:T2"/>
    <mergeCell ref="U1:W1"/>
    <mergeCell ref="X1:X2"/>
    <mergeCell ref="A22:C22"/>
    <mergeCell ref="G1:G2"/>
    <mergeCell ref="H1:H2"/>
    <mergeCell ref="I1:I2"/>
    <mergeCell ref="J1:Q1"/>
    <mergeCell ref="R1:R2"/>
    <mergeCell ref="S1:S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ADE7-B2ED-4A0E-BFC6-ACBE14E26241}">
  <dimension ref="A1:X16"/>
  <sheetViews>
    <sheetView zoomScale="85" zoomScaleNormal="85" workbookViewId="0">
      <selection activeCell="A17" sqref="A17"/>
    </sheetView>
  </sheetViews>
  <sheetFormatPr defaultColWidth="8.85546875" defaultRowHeight="12.75"/>
  <cols>
    <col min="2" max="2" width="27.140625" customWidth="1"/>
    <col min="3" max="3" width="14.28515625" customWidth="1"/>
    <col min="4" max="4" width="23.140625" customWidth="1"/>
    <col min="5" max="6" width="10.7109375" customWidth="1"/>
    <col min="7" max="7" width="10" customWidth="1"/>
    <col min="8" max="8" width="17.140625" customWidth="1"/>
    <col min="9" max="9" width="14.28515625" customWidth="1"/>
    <col min="18" max="19" width="10.7109375" customWidth="1"/>
    <col min="24" max="24" width="10.7109375" customWidth="1"/>
  </cols>
  <sheetData>
    <row r="1" spans="1:24" ht="15">
      <c r="A1" s="120" t="s">
        <v>0</v>
      </c>
      <c r="B1" s="123" t="s">
        <v>1</v>
      </c>
      <c r="C1" s="119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6" t="s">
        <v>7</v>
      </c>
      <c r="I1" s="116" t="s">
        <v>8</v>
      </c>
      <c r="J1" s="120" t="s">
        <v>9</v>
      </c>
      <c r="K1" s="120"/>
      <c r="L1" s="120"/>
      <c r="M1" s="120"/>
      <c r="N1" s="120"/>
      <c r="O1" s="120"/>
      <c r="P1" s="120"/>
      <c r="Q1" s="120"/>
      <c r="R1" s="121" t="s">
        <v>10</v>
      </c>
      <c r="S1" s="122" t="s">
        <v>11</v>
      </c>
      <c r="T1" s="113" t="s">
        <v>12</v>
      </c>
      <c r="U1" s="115" t="s">
        <v>13</v>
      </c>
      <c r="V1" s="115"/>
      <c r="W1" s="115"/>
      <c r="X1" s="116" t="s">
        <v>14</v>
      </c>
    </row>
    <row r="2" spans="1:24" ht="15">
      <c r="A2" s="120"/>
      <c r="B2" s="124"/>
      <c r="C2" s="120"/>
      <c r="D2" s="119"/>
      <c r="E2" s="119"/>
      <c r="F2" s="119"/>
      <c r="G2" s="120"/>
      <c r="H2" s="116"/>
      <c r="I2" s="116"/>
      <c r="J2" s="2" t="s">
        <v>15</v>
      </c>
      <c r="K2" s="3" t="s">
        <v>16</v>
      </c>
      <c r="L2" s="3" t="s">
        <v>17</v>
      </c>
      <c r="M2" s="4" t="s">
        <v>18</v>
      </c>
      <c r="N2" s="5" t="s">
        <v>19</v>
      </c>
      <c r="O2" s="4" t="s">
        <v>20</v>
      </c>
      <c r="P2" s="4" t="s">
        <v>21</v>
      </c>
      <c r="Q2" s="4">
        <v>45</v>
      </c>
      <c r="R2" s="121"/>
      <c r="S2" s="122"/>
      <c r="T2" s="114"/>
      <c r="U2" s="1" t="s">
        <v>22</v>
      </c>
      <c r="V2" s="1" t="s">
        <v>23</v>
      </c>
      <c r="W2" s="1" t="s">
        <v>24</v>
      </c>
      <c r="X2" s="117"/>
    </row>
    <row r="3" spans="1:24" ht="15">
      <c r="A3" s="6">
        <v>1</v>
      </c>
      <c r="B3" s="44" t="s">
        <v>67</v>
      </c>
      <c r="C3" s="44" t="s">
        <v>34</v>
      </c>
      <c r="D3" s="44" t="s">
        <v>95</v>
      </c>
      <c r="E3" s="54">
        <v>45872</v>
      </c>
      <c r="F3" s="55">
        <v>45899</v>
      </c>
      <c r="G3" s="9"/>
      <c r="H3" s="44" t="s">
        <v>204</v>
      </c>
      <c r="I3" s="44" t="s">
        <v>205</v>
      </c>
      <c r="J3" s="32"/>
      <c r="K3" s="33"/>
      <c r="L3" s="33"/>
      <c r="M3" s="44">
        <v>2</v>
      </c>
      <c r="N3" s="28"/>
      <c r="O3" s="56"/>
      <c r="P3" s="44"/>
      <c r="Q3" s="36"/>
      <c r="R3" s="46">
        <v>4991.1549999999997</v>
      </c>
      <c r="S3" s="46">
        <v>5705</v>
      </c>
      <c r="T3" s="14"/>
      <c r="U3" s="15"/>
      <c r="V3" s="57">
        <v>30</v>
      </c>
      <c r="W3" s="58">
        <v>16.154</v>
      </c>
      <c r="X3" s="46">
        <v>713.84500000000003</v>
      </c>
    </row>
    <row r="4" spans="1:24" ht="15">
      <c r="A4" s="6">
        <v>2</v>
      </c>
      <c r="B4" s="50" t="s">
        <v>172</v>
      </c>
      <c r="C4" s="50" t="s">
        <v>26</v>
      </c>
      <c r="D4" s="50" t="s">
        <v>189</v>
      </c>
      <c r="E4" s="59">
        <v>45876</v>
      </c>
      <c r="F4" s="60">
        <v>45916</v>
      </c>
      <c r="G4" s="22"/>
      <c r="H4" s="50" t="s">
        <v>206</v>
      </c>
      <c r="I4" s="50" t="s">
        <v>207</v>
      </c>
      <c r="J4" s="32"/>
      <c r="K4" s="33"/>
      <c r="L4" s="33"/>
      <c r="M4" s="50">
        <v>1</v>
      </c>
      <c r="N4" s="31"/>
      <c r="O4" s="61"/>
      <c r="P4" s="50"/>
      <c r="Q4" s="36"/>
      <c r="R4" s="52">
        <v>2566.88</v>
      </c>
      <c r="S4" s="52">
        <v>2647.8789999999999</v>
      </c>
      <c r="T4" s="14"/>
      <c r="U4" s="15"/>
      <c r="V4" s="58">
        <v>25</v>
      </c>
      <c r="W4" s="15">
        <v>2.778</v>
      </c>
      <c r="X4" s="52">
        <v>80.998999999999995</v>
      </c>
    </row>
    <row r="5" spans="1:24" ht="15">
      <c r="A5" s="6">
        <v>3</v>
      </c>
      <c r="B5" s="50" t="s">
        <v>61</v>
      </c>
      <c r="C5" s="50" t="s">
        <v>34</v>
      </c>
      <c r="D5" s="50" t="s">
        <v>208</v>
      </c>
      <c r="E5" s="59">
        <v>45880</v>
      </c>
      <c r="F5" s="60">
        <v>45922</v>
      </c>
      <c r="G5" s="22"/>
      <c r="H5" s="50" t="s">
        <v>209</v>
      </c>
      <c r="I5" s="50" t="s">
        <v>210</v>
      </c>
      <c r="J5" s="32"/>
      <c r="K5" s="33"/>
      <c r="L5" s="44">
        <v>1</v>
      </c>
      <c r="M5" s="50"/>
      <c r="N5" s="31"/>
      <c r="O5" s="61"/>
      <c r="P5" s="50"/>
      <c r="Q5" s="36"/>
      <c r="R5" s="52">
        <v>4195.7330000000002</v>
      </c>
      <c r="S5" s="52">
        <v>5860</v>
      </c>
      <c r="T5" s="14"/>
      <c r="U5" s="15"/>
      <c r="V5" s="58">
        <v>0</v>
      </c>
      <c r="W5" s="15"/>
      <c r="X5" s="52">
        <v>1664.2670000000001</v>
      </c>
    </row>
    <row r="6" spans="1:24" ht="15">
      <c r="A6" s="6">
        <v>4</v>
      </c>
      <c r="B6" s="44" t="s">
        <v>67</v>
      </c>
      <c r="C6" s="50" t="s">
        <v>34</v>
      </c>
      <c r="D6" s="50" t="s">
        <v>95</v>
      </c>
      <c r="E6" s="59">
        <v>45882</v>
      </c>
      <c r="F6" s="60">
        <v>45916</v>
      </c>
      <c r="G6" s="22"/>
      <c r="H6" s="50" t="s">
        <v>211</v>
      </c>
      <c r="I6" s="50" t="s">
        <v>212</v>
      </c>
      <c r="J6" s="32"/>
      <c r="K6" s="33"/>
      <c r="L6" s="33"/>
      <c r="M6" s="50">
        <v>2</v>
      </c>
      <c r="N6" s="31"/>
      <c r="O6" s="61"/>
      <c r="P6" s="50"/>
      <c r="Q6" s="36"/>
      <c r="R6" s="52">
        <v>5205</v>
      </c>
      <c r="S6" s="52">
        <v>5605</v>
      </c>
      <c r="T6" s="14"/>
      <c r="U6" s="15"/>
      <c r="V6" s="58">
        <v>40</v>
      </c>
      <c r="W6" s="15">
        <v>21.538</v>
      </c>
      <c r="X6" s="52">
        <v>400</v>
      </c>
    </row>
    <row r="7" spans="1:24" ht="15">
      <c r="A7" s="6">
        <v>5</v>
      </c>
      <c r="B7" s="50" t="s">
        <v>213</v>
      </c>
      <c r="C7" s="50" t="s">
        <v>34</v>
      </c>
      <c r="D7" s="50" t="s">
        <v>214</v>
      </c>
      <c r="E7" s="59">
        <v>45884</v>
      </c>
      <c r="F7" s="60">
        <v>45930</v>
      </c>
      <c r="G7" s="22"/>
      <c r="H7" s="50" t="s">
        <v>215</v>
      </c>
      <c r="I7" s="50" t="s">
        <v>216</v>
      </c>
      <c r="J7" s="32"/>
      <c r="K7" s="33"/>
      <c r="L7" s="33"/>
      <c r="M7" s="50">
        <v>2</v>
      </c>
      <c r="N7" s="31"/>
      <c r="O7" s="61"/>
      <c r="P7" s="50"/>
      <c r="Q7" s="36"/>
      <c r="R7" s="52">
        <v>7976.0829999999996</v>
      </c>
      <c r="S7" s="52">
        <v>7985</v>
      </c>
      <c r="T7" s="14"/>
      <c r="U7" s="15"/>
      <c r="V7" s="58">
        <v>0</v>
      </c>
      <c r="W7" s="15"/>
      <c r="X7" s="52">
        <v>8.9169999999999998</v>
      </c>
    </row>
    <row r="8" spans="1:24" ht="15">
      <c r="A8" s="6">
        <v>6</v>
      </c>
      <c r="B8" s="50" t="s">
        <v>25</v>
      </c>
      <c r="C8" s="50" t="s">
        <v>26</v>
      </c>
      <c r="D8" s="50" t="s">
        <v>27</v>
      </c>
      <c r="E8" s="59">
        <v>45885</v>
      </c>
      <c r="F8" s="60">
        <v>45904</v>
      </c>
      <c r="G8" s="22"/>
      <c r="H8" s="50" t="s">
        <v>217</v>
      </c>
      <c r="I8" s="50" t="s">
        <v>218</v>
      </c>
      <c r="J8" s="32"/>
      <c r="K8" s="33"/>
      <c r="L8" s="33"/>
      <c r="M8" s="50"/>
      <c r="N8" s="31"/>
      <c r="O8" s="61">
        <v>1</v>
      </c>
      <c r="P8" s="50"/>
      <c r="Q8" s="36"/>
      <c r="R8" s="52">
        <v>1962.297</v>
      </c>
      <c r="S8" s="52">
        <v>2025</v>
      </c>
      <c r="T8" s="14"/>
      <c r="U8" s="15"/>
      <c r="V8" s="58">
        <v>0</v>
      </c>
      <c r="W8" s="15"/>
      <c r="X8" s="52">
        <v>62.703000000000003</v>
      </c>
    </row>
    <row r="9" spans="1:24" ht="15">
      <c r="A9" s="6">
        <v>7</v>
      </c>
      <c r="B9" s="50" t="s">
        <v>25</v>
      </c>
      <c r="C9" s="50" t="s">
        <v>26</v>
      </c>
      <c r="D9" s="50" t="s">
        <v>27</v>
      </c>
      <c r="E9" s="59">
        <v>45885</v>
      </c>
      <c r="F9" s="60">
        <v>45904</v>
      </c>
      <c r="G9" s="22"/>
      <c r="H9" s="50" t="s">
        <v>219</v>
      </c>
      <c r="I9" s="50" t="s">
        <v>220</v>
      </c>
      <c r="J9" s="32"/>
      <c r="K9" s="33"/>
      <c r="L9" s="33"/>
      <c r="M9" s="50"/>
      <c r="N9" s="31"/>
      <c r="O9" s="61">
        <v>1</v>
      </c>
      <c r="P9" s="50"/>
      <c r="Q9" s="36"/>
      <c r="R9" s="52">
        <v>1962.297</v>
      </c>
      <c r="S9" s="52">
        <v>2025</v>
      </c>
      <c r="T9" s="14"/>
      <c r="U9" s="15"/>
      <c r="V9" s="58">
        <v>0</v>
      </c>
      <c r="W9" s="15"/>
      <c r="X9" s="52">
        <v>62.703000000000003</v>
      </c>
    </row>
    <row r="10" spans="1:24" ht="15">
      <c r="A10" s="6">
        <v>8</v>
      </c>
      <c r="B10" s="50" t="s">
        <v>25</v>
      </c>
      <c r="C10" s="50" t="s">
        <v>26</v>
      </c>
      <c r="D10" s="50" t="s">
        <v>27</v>
      </c>
      <c r="E10" s="59">
        <v>45885</v>
      </c>
      <c r="F10" s="60">
        <v>45904</v>
      </c>
      <c r="G10" s="22"/>
      <c r="H10" s="50" t="s">
        <v>221</v>
      </c>
      <c r="I10" s="50" t="s">
        <v>222</v>
      </c>
      <c r="J10" s="32"/>
      <c r="K10" s="33"/>
      <c r="L10" s="33"/>
      <c r="M10" s="50"/>
      <c r="N10" s="31"/>
      <c r="O10" s="61">
        <v>1</v>
      </c>
      <c r="P10" s="50"/>
      <c r="Q10" s="36"/>
      <c r="R10" s="52">
        <v>1962.297</v>
      </c>
      <c r="S10" s="52">
        <v>2025</v>
      </c>
      <c r="T10" s="14"/>
      <c r="U10" s="15"/>
      <c r="V10" s="58">
        <v>0</v>
      </c>
      <c r="W10" s="15"/>
      <c r="X10" s="52">
        <v>62.703000000000003</v>
      </c>
    </row>
    <row r="11" spans="1:24" ht="15">
      <c r="A11" s="6">
        <v>9</v>
      </c>
      <c r="B11" s="50" t="s">
        <v>61</v>
      </c>
      <c r="C11" s="50" t="s">
        <v>34</v>
      </c>
      <c r="D11" s="50" t="s">
        <v>223</v>
      </c>
      <c r="E11" s="59">
        <v>45892</v>
      </c>
      <c r="F11" s="60">
        <v>45939</v>
      </c>
      <c r="G11" s="22"/>
      <c r="H11" s="50" t="s">
        <v>224</v>
      </c>
      <c r="I11" s="50" t="s">
        <v>225</v>
      </c>
      <c r="J11" s="32"/>
      <c r="K11" s="33"/>
      <c r="L11" s="33"/>
      <c r="M11" s="50"/>
      <c r="N11" s="31">
        <v>1</v>
      </c>
      <c r="O11" s="61"/>
      <c r="P11" s="50"/>
      <c r="Q11" s="36"/>
      <c r="R11" s="52">
        <v>5527.5330000000004</v>
      </c>
      <c r="S11" s="52">
        <v>5625</v>
      </c>
      <c r="T11" s="14"/>
      <c r="U11" s="15"/>
      <c r="V11" s="58">
        <v>0</v>
      </c>
      <c r="W11" s="15"/>
      <c r="X11" s="52">
        <v>97.466999999999999</v>
      </c>
    </row>
    <row r="12" spans="1:24" ht="15">
      <c r="A12" s="6">
        <v>10</v>
      </c>
      <c r="B12" s="50" t="s">
        <v>61</v>
      </c>
      <c r="C12" s="50" t="s">
        <v>26</v>
      </c>
      <c r="D12" s="50" t="s">
        <v>179</v>
      </c>
      <c r="E12" s="59">
        <v>45894</v>
      </c>
      <c r="F12" s="60">
        <v>45926</v>
      </c>
      <c r="G12" s="22"/>
      <c r="H12" s="50" t="s">
        <v>226</v>
      </c>
      <c r="I12" s="50" t="s">
        <v>227</v>
      </c>
      <c r="J12" s="32"/>
      <c r="K12" s="33"/>
      <c r="L12" s="33"/>
      <c r="M12" s="50"/>
      <c r="N12" s="31">
        <v>1</v>
      </c>
      <c r="O12" s="61"/>
      <c r="P12" s="50"/>
      <c r="Q12" s="36"/>
      <c r="R12" s="52">
        <v>4966.5129999999999</v>
      </c>
      <c r="S12" s="52">
        <v>5140.0829999999996</v>
      </c>
      <c r="T12" s="14"/>
      <c r="U12" s="15"/>
      <c r="V12" s="58">
        <v>100</v>
      </c>
      <c r="W12" s="15">
        <v>11.111000000000001</v>
      </c>
      <c r="X12" s="52">
        <v>173.57</v>
      </c>
    </row>
    <row r="13" spans="1:24" ht="15">
      <c r="A13" s="6">
        <v>11</v>
      </c>
      <c r="B13" s="50" t="s">
        <v>61</v>
      </c>
      <c r="C13" s="50" t="s">
        <v>26</v>
      </c>
      <c r="D13" s="50" t="s">
        <v>84</v>
      </c>
      <c r="E13" s="59">
        <v>45897</v>
      </c>
      <c r="F13" s="60">
        <v>45924</v>
      </c>
      <c r="G13" s="22"/>
      <c r="H13" s="50" t="s">
        <v>228</v>
      </c>
      <c r="I13" s="50" t="s">
        <v>229</v>
      </c>
      <c r="J13" s="32"/>
      <c r="K13" s="33"/>
      <c r="L13" s="33"/>
      <c r="M13" s="50"/>
      <c r="N13" s="31">
        <v>2</v>
      </c>
      <c r="O13" s="61"/>
      <c r="P13" s="50"/>
      <c r="Q13" s="36"/>
      <c r="R13" s="52">
        <v>4030.248</v>
      </c>
      <c r="S13" s="52">
        <v>4395</v>
      </c>
      <c r="T13" s="14"/>
      <c r="U13" s="15"/>
      <c r="V13" s="58">
        <v>40</v>
      </c>
      <c r="W13" s="58">
        <v>21.538</v>
      </c>
      <c r="X13" s="52">
        <v>250</v>
      </c>
    </row>
    <row r="14" spans="1:24" ht="15">
      <c r="A14" s="6">
        <v>12</v>
      </c>
      <c r="B14" s="50" t="s">
        <v>25</v>
      </c>
      <c r="C14" s="50" t="s">
        <v>26</v>
      </c>
      <c r="D14" s="50" t="s">
        <v>27</v>
      </c>
      <c r="E14" s="59">
        <v>45899</v>
      </c>
      <c r="F14" s="60">
        <v>45924</v>
      </c>
      <c r="G14" s="22"/>
      <c r="H14" s="50" t="s">
        <v>230</v>
      </c>
      <c r="I14" s="50" t="s">
        <v>231</v>
      </c>
      <c r="J14" s="32"/>
      <c r="K14" s="33"/>
      <c r="L14" s="33"/>
      <c r="M14" s="50"/>
      <c r="N14" s="31"/>
      <c r="O14" s="61">
        <v>1</v>
      </c>
      <c r="P14" s="50"/>
      <c r="Q14" s="36"/>
      <c r="R14" s="52">
        <v>2005</v>
      </c>
      <c r="S14" s="52">
        <v>2025</v>
      </c>
      <c r="T14" s="14"/>
      <c r="U14" s="15"/>
      <c r="V14" s="58">
        <v>0</v>
      </c>
      <c r="W14" s="15"/>
      <c r="X14" s="52">
        <v>20</v>
      </c>
    </row>
    <row r="15" spans="1:24" ht="15">
      <c r="A15" s="6">
        <v>13</v>
      </c>
      <c r="B15" s="50" t="s">
        <v>57</v>
      </c>
      <c r="C15" s="50" t="s">
        <v>26</v>
      </c>
      <c r="D15" s="50" t="s">
        <v>232</v>
      </c>
      <c r="E15" s="59">
        <v>45900</v>
      </c>
      <c r="F15" s="60">
        <v>45940</v>
      </c>
      <c r="G15" s="22"/>
      <c r="H15" s="50" t="s">
        <v>233</v>
      </c>
      <c r="I15" s="50" t="s">
        <v>234</v>
      </c>
      <c r="J15" s="7"/>
      <c r="K15" s="7"/>
      <c r="L15" s="7"/>
      <c r="M15" s="50"/>
      <c r="N15" s="31"/>
      <c r="O15" s="61">
        <v>1</v>
      </c>
      <c r="P15" s="50"/>
      <c r="Q15" s="7"/>
      <c r="R15" s="52">
        <v>3209</v>
      </c>
      <c r="S15" s="52">
        <v>3259</v>
      </c>
      <c r="T15" s="14"/>
      <c r="U15" s="15"/>
      <c r="V15" s="58">
        <v>30</v>
      </c>
      <c r="W15" s="15">
        <v>3</v>
      </c>
      <c r="X15" s="52">
        <v>50</v>
      </c>
    </row>
    <row r="16" spans="1:24" ht="15">
      <c r="A16" s="118"/>
      <c r="B16" s="118"/>
      <c r="C16" s="118"/>
      <c r="D16" s="23"/>
      <c r="E16" s="24"/>
      <c r="F16" s="24"/>
      <c r="G16" s="24"/>
      <c r="H16" s="24"/>
      <c r="I16" s="24"/>
      <c r="J16" s="25" t="s">
        <v>74</v>
      </c>
      <c r="K16" s="25" t="s">
        <v>74</v>
      </c>
      <c r="L16" s="25">
        <f>SUM(L3:L15)</f>
        <v>1</v>
      </c>
      <c r="M16" s="25">
        <f>SUM(M3:M15)</f>
        <v>7</v>
      </c>
      <c r="N16" s="25">
        <f>SUM(N3:N15)</f>
        <v>4</v>
      </c>
      <c r="O16" s="25">
        <f>SUM(O3:O15)</f>
        <v>5</v>
      </c>
      <c r="P16" s="25">
        <f>SUM(P3:P15)</f>
        <v>0</v>
      </c>
      <c r="Q16" s="25" t="s">
        <v>74</v>
      </c>
      <c r="R16" s="26">
        <f>SUM(R3:R15)</f>
        <v>50560.035999999993</v>
      </c>
      <c r="S16" s="26">
        <f>SUM(S3:S15)</f>
        <v>54321.962</v>
      </c>
      <c r="T16" s="27" t="e">
        <f>SUM(#REF!)</f>
        <v>#REF!</v>
      </c>
      <c r="U16" s="27" t="e">
        <f>SUM(#REF!)</f>
        <v>#REF!</v>
      </c>
      <c r="V16" s="27">
        <f>SUM(V3:V15)</f>
        <v>265</v>
      </c>
      <c r="W16" s="27">
        <f>SUM(W3:W15)</f>
        <v>76.119</v>
      </c>
      <c r="X16" s="27">
        <f>SUM(X3:X15)</f>
        <v>3647.174</v>
      </c>
    </row>
  </sheetData>
  <mergeCells count="16">
    <mergeCell ref="T1:T2"/>
    <mergeCell ref="U1:W1"/>
    <mergeCell ref="X1:X2"/>
    <mergeCell ref="A16:C16"/>
    <mergeCell ref="G1:G2"/>
    <mergeCell ref="H1:H2"/>
    <mergeCell ref="I1:I2"/>
    <mergeCell ref="J1:Q1"/>
    <mergeCell ref="R1:R2"/>
    <mergeCell ref="S1:S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FEF0-467B-477C-B85F-5D73A786728F}">
  <dimension ref="A1:X8"/>
  <sheetViews>
    <sheetView tabSelected="1" zoomScaleNormal="100" workbookViewId="0">
      <selection activeCell="E21" sqref="E21"/>
    </sheetView>
  </sheetViews>
  <sheetFormatPr defaultColWidth="8.85546875" defaultRowHeight="12.75"/>
  <cols>
    <col min="2" max="2" width="20.7109375" bestFit="1" customWidth="1"/>
    <col min="3" max="3" width="8.7109375" customWidth="1"/>
    <col min="4" max="4" width="21.7109375" bestFit="1" customWidth="1"/>
    <col min="5" max="5" width="11.5703125" bestFit="1" customWidth="1"/>
    <col min="6" max="6" width="11.85546875" bestFit="1" customWidth="1"/>
    <col min="7" max="7" width="10.28515625" bestFit="1" customWidth="1"/>
    <col min="8" max="8" width="19.28515625" bestFit="1" customWidth="1"/>
    <col min="9" max="9" width="13" customWidth="1"/>
    <col min="18" max="19" width="9.42578125" bestFit="1" customWidth="1"/>
    <col min="20" max="20" width="6" bestFit="1" customWidth="1"/>
    <col min="21" max="21" width="6.28515625" bestFit="1" customWidth="1"/>
    <col min="24" max="24" width="9.42578125" bestFit="1" customWidth="1"/>
  </cols>
  <sheetData>
    <row r="1" spans="1:24" ht="15" customHeight="1">
      <c r="A1" s="132" t="s">
        <v>0</v>
      </c>
      <c r="B1" s="135" t="s">
        <v>1</v>
      </c>
      <c r="C1" s="131" t="s">
        <v>2</v>
      </c>
      <c r="D1" s="131" t="s">
        <v>3</v>
      </c>
      <c r="E1" s="131" t="s">
        <v>4</v>
      </c>
      <c r="F1" s="131" t="s">
        <v>5</v>
      </c>
      <c r="G1" s="131" t="s">
        <v>6</v>
      </c>
      <c r="H1" s="129" t="s">
        <v>7</v>
      </c>
      <c r="I1" s="129" t="s">
        <v>8</v>
      </c>
      <c r="J1" s="132" t="s">
        <v>9</v>
      </c>
      <c r="K1" s="132"/>
      <c r="L1" s="132"/>
      <c r="M1" s="132"/>
      <c r="N1" s="132"/>
      <c r="O1" s="132"/>
      <c r="P1" s="132"/>
      <c r="Q1" s="132"/>
      <c r="R1" s="133" t="s">
        <v>10</v>
      </c>
      <c r="S1" s="134" t="s">
        <v>11</v>
      </c>
      <c r="T1" s="126" t="s">
        <v>12</v>
      </c>
      <c r="U1" s="128" t="s">
        <v>13</v>
      </c>
      <c r="V1" s="128"/>
      <c r="W1" s="128"/>
      <c r="X1" s="129" t="s">
        <v>14</v>
      </c>
    </row>
    <row r="2" spans="1:24" ht="15">
      <c r="A2" s="132"/>
      <c r="B2" s="136"/>
      <c r="C2" s="132"/>
      <c r="D2" s="131"/>
      <c r="E2" s="131"/>
      <c r="F2" s="131"/>
      <c r="G2" s="132"/>
      <c r="H2" s="129"/>
      <c r="I2" s="129"/>
      <c r="J2" s="91" t="s">
        <v>15</v>
      </c>
      <c r="K2" s="92" t="s">
        <v>16</v>
      </c>
      <c r="L2" s="92" t="s">
        <v>17</v>
      </c>
      <c r="M2" s="93" t="s">
        <v>18</v>
      </c>
      <c r="N2" s="94" t="s">
        <v>19</v>
      </c>
      <c r="O2" s="93" t="s">
        <v>20</v>
      </c>
      <c r="P2" s="93" t="s">
        <v>21</v>
      </c>
      <c r="Q2" s="93">
        <v>45</v>
      </c>
      <c r="R2" s="133"/>
      <c r="S2" s="134"/>
      <c r="T2" s="127"/>
      <c r="U2" s="90" t="s">
        <v>22</v>
      </c>
      <c r="V2" s="90" t="s">
        <v>23</v>
      </c>
      <c r="W2" s="90" t="s">
        <v>24</v>
      </c>
      <c r="X2" s="130"/>
    </row>
    <row r="3" spans="1:24" ht="15">
      <c r="A3" s="95">
        <v>1</v>
      </c>
      <c r="B3" s="96" t="s">
        <v>33</v>
      </c>
      <c r="C3" s="96" t="s">
        <v>34</v>
      </c>
      <c r="D3" s="96" t="s">
        <v>102</v>
      </c>
      <c r="E3" s="97">
        <v>45906</v>
      </c>
      <c r="F3" s="98">
        <v>45923</v>
      </c>
      <c r="G3" s="96" t="s">
        <v>127</v>
      </c>
      <c r="H3" s="96" t="s">
        <v>294</v>
      </c>
      <c r="I3" s="96" t="s">
        <v>295</v>
      </c>
      <c r="J3" s="99"/>
      <c r="K3" s="100"/>
      <c r="L3" s="100"/>
      <c r="M3" s="96">
        <v>1</v>
      </c>
      <c r="N3" s="96"/>
      <c r="O3" s="101"/>
      <c r="P3" s="96"/>
      <c r="Q3" s="102"/>
      <c r="R3" s="103">
        <v>1870.636</v>
      </c>
      <c r="S3" s="103">
        <v>2018</v>
      </c>
      <c r="T3" s="104"/>
      <c r="U3" s="105"/>
      <c r="V3" s="106">
        <v>30</v>
      </c>
      <c r="W3" s="106">
        <v>3.3</v>
      </c>
      <c r="X3" s="103">
        <v>147.364</v>
      </c>
    </row>
    <row r="4" spans="1:24" ht="15">
      <c r="A4" s="95">
        <v>2</v>
      </c>
      <c r="B4" s="96" t="s">
        <v>296</v>
      </c>
      <c r="C4" s="96" t="s">
        <v>26</v>
      </c>
      <c r="D4" s="96" t="s">
        <v>297</v>
      </c>
      <c r="E4" s="97">
        <v>45913</v>
      </c>
      <c r="F4" s="98">
        <v>45959</v>
      </c>
      <c r="G4" s="96" t="s">
        <v>298</v>
      </c>
      <c r="H4" s="96" t="s">
        <v>299</v>
      </c>
      <c r="I4" s="96" t="s">
        <v>300</v>
      </c>
      <c r="J4" s="99"/>
      <c r="K4" s="100"/>
      <c r="L4" s="107"/>
      <c r="M4" s="96">
        <v>1</v>
      </c>
      <c r="N4" s="96"/>
      <c r="O4" s="101"/>
      <c r="P4" s="96"/>
      <c r="Q4" s="102"/>
      <c r="R4" s="103">
        <v>2104.6350000000002</v>
      </c>
      <c r="S4" s="103">
        <v>2210</v>
      </c>
      <c r="T4" s="104"/>
      <c r="U4" s="105"/>
      <c r="V4" s="106"/>
      <c r="W4" s="105"/>
      <c r="X4" s="103">
        <v>105.36499999999999</v>
      </c>
    </row>
    <row r="5" spans="1:24" ht="15">
      <c r="A5" s="95">
        <v>3</v>
      </c>
      <c r="B5" s="96" t="s">
        <v>25</v>
      </c>
      <c r="C5" s="96" t="s">
        <v>26</v>
      </c>
      <c r="D5" s="96" t="s">
        <v>84</v>
      </c>
      <c r="E5" s="97">
        <v>45918</v>
      </c>
      <c r="F5" s="98">
        <v>45947</v>
      </c>
      <c r="G5" s="96" t="s">
        <v>41</v>
      </c>
      <c r="H5" s="96" t="s">
        <v>301</v>
      </c>
      <c r="I5" s="96" t="s">
        <v>302</v>
      </c>
      <c r="J5" s="99"/>
      <c r="K5" s="100"/>
      <c r="L5" s="100"/>
      <c r="M5" s="96"/>
      <c r="N5" s="96"/>
      <c r="O5" s="101">
        <v>1</v>
      </c>
      <c r="P5" s="96"/>
      <c r="Q5" s="102"/>
      <c r="R5" s="103">
        <v>2287.0239999999999</v>
      </c>
      <c r="S5" s="103">
        <v>2465</v>
      </c>
      <c r="T5" s="104"/>
      <c r="U5" s="105"/>
      <c r="V5" s="106">
        <v>50</v>
      </c>
      <c r="W5" s="105">
        <v>26.922999999999998</v>
      </c>
      <c r="X5" s="103">
        <v>177.976</v>
      </c>
    </row>
    <row r="6" spans="1:24" ht="15">
      <c r="A6" s="95">
        <v>4</v>
      </c>
      <c r="B6" s="96" t="s">
        <v>25</v>
      </c>
      <c r="C6" s="96" t="s">
        <v>26</v>
      </c>
      <c r="D6" s="96" t="s">
        <v>84</v>
      </c>
      <c r="E6" s="97">
        <v>45918</v>
      </c>
      <c r="F6" s="98">
        <v>45947</v>
      </c>
      <c r="G6" s="96" t="s">
        <v>41</v>
      </c>
      <c r="H6" s="96" t="s">
        <v>303</v>
      </c>
      <c r="I6" s="96" t="s">
        <v>304</v>
      </c>
      <c r="J6" s="99"/>
      <c r="K6" s="100"/>
      <c r="L6" s="100"/>
      <c r="M6" s="96"/>
      <c r="N6" s="96"/>
      <c r="O6" s="101">
        <v>1</v>
      </c>
      <c r="P6" s="96"/>
      <c r="Q6" s="102"/>
      <c r="R6" s="103">
        <v>2287.0239999999999</v>
      </c>
      <c r="S6" s="103">
        <v>2465</v>
      </c>
      <c r="T6" s="104"/>
      <c r="U6" s="105"/>
      <c r="V6" s="106">
        <v>50</v>
      </c>
      <c r="W6" s="105">
        <v>26.922999999999998</v>
      </c>
      <c r="X6" s="103">
        <v>177.976</v>
      </c>
    </row>
    <row r="7" spans="1:24" ht="15">
      <c r="A7" s="95">
        <v>5</v>
      </c>
      <c r="B7" s="96" t="s">
        <v>305</v>
      </c>
      <c r="C7" s="96" t="s">
        <v>34</v>
      </c>
      <c r="D7" s="96" t="s">
        <v>208</v>
      </c>
      <c r="E7" s="97">
        <v>45927</v>
      </c>
      <c r="F7" s="98">
        <v>45974</v>
      </c>
      <c r="G7" s="96" t="s">
        <v>115</v>
      </c>
      <c r="H7" s="96" t="s">
        <v>306</v>
      </c>
      <c r="I7" s="96" t="s">
        <v>307</v>
      </c>
      <c r="J7" s="99"/>
      <c r="K7" s="100"/>
      <c r="L7" s="100"/>
      <c r="M7" s="96"/>
      <c r="N7" s="96"/>
      <c r="O7" s="101"/>
      <c r="P7" s="96">
        <v>1</v>
      </c>
      <c r="Q7" s="102"/>
      <c r="R7" s="103">
        <v>3254.2919999999999</v>
      </c>
      <c r="S7" s="103">
        <v>3435</v>
      </c>
      <c r="T7" s="104"/>
      <c r="U7" s="105"/>
      <c r="V7" s="106"/>
      <c r="W7" s="105"/>
      <c r="X7" s="103">
        <v>180.708</v>
      </c>
    </row>
    <row r="8" spans="1:24" ht="15">
      <c r="A8" s="125"/>
      <c r="B8" s="125"/>
      <c r="C8" s="125"/>
      <c r="D8" s="108"/>
      <c r="E8" s="109"/>
      <c r="F8" s="109"/>
      <c r="G8" s="109"/>
      <c r="H8" s="109"/>
      <c r="I8" s="109"/>
      <c r="J8" s="110" t="s">
        <v>74</v>
      </c>
      <c r="K8" s="110" t="s">
        <v>74</v>
      </c>
      <c r="L8" s="110">
        <f>SUM(L3:L7)</f>
        <v>0</v>
      </c>
      <c r="M8" s="110">
        <f>SUM(M3:M7)</f>
        <v>2</v>
      </c>
      <c r="N8" s="110">
        <f>SUM(N3:N7)</f>
        <v>0</v>
      </c>
      <c r="O8" s="110">
        <f>SUM(O3:O7)</f>
        <v>2</v>
      </c>
      <c r="P8" s="110">
        <f>SUM(P3:P7)</f>
        <v>1</v>
      </c>
      <c r="Q8" s="110" t="s">
        <v>74</v>
      </c>
      <c r="R8" s="111">
        <f>SUM(R3:R7)</f>
        <v>11803.610999999999</v>
      </c>
      <c r="S8" s="111">
        <f>SUM(S3:S7)</f>
        <v>12593</v>
      </c>
      <c r="T8" s="112" t="e">
        <f>SUM(#REF!)</f>
        <v>#REF!</v>
      </c>
      <c r="U8" s="112" t="e">
        <f>SUM(#REF!)</f>
        <v>#REF!</v>
      </c>
      <c r="V8" s="112">
        <f>SUM(V3:V7)</f>
        <v>130</v>
      </c>
      <c r="W8" s="112">
        <f>SUM(W3:W7)</f>
        <v>57.146000000000001</v>
      </c>
      <c r="X8" s="112">
        <f>SUM(X3:X7)</f>
        <v>789.38900000000001</v>
      </c>
    </row>
  </sheetData>
  <mergeCells count="16">
    <mergeCell ref="A8:C8"/>
    <mergeCell ref="T1:T2"/>
    <mergeCell ref="U1:W1"/>
    <mergeCell ref="X1:X2"/>
    <mergeCell ref="G1:G2"/>
    <mergeCell ref="H1:H2"/>
    <mergeCell ref="I1:I2"/>
    <mergeCell ref="J1:Q1"/>
    <mergeCell ref="R1:R2"/>
    <mergeCell ref="S1:S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DB7A-BBF2-4BE7-9001-BCFCBAE28610}">
  <dimension ref="A1:X13"/>
  <sheetViews>
    <sheetView zoomScaleNormal="100" workbookViewId="0">
      <selection activeCell="F42" sqref="F42"/>
    </sheetView>
  </sheetViews>
  <sheetFormatPr defaultRowHeight="12.75"/>
  <cols>
    <col min="2" max="2" width="20.5703125" customWidth="1"/>
    <col min="4" max="4" width="21.7109375" bestFit="1" customWidth="1"/>
    <col min="5" max="5" width="9.28515625" bestFit="1" customWidth="1"/>
    <col min="6" max="6" width="9.7109375" bestFit="1" customWidth="1"/>
    <col min="7" max="7" width="10.28515625" bestFit="1" customWidth="1"/>
    <col min="8" max="8" width="19.28515625" bestFit="1" customWidth="1"/>
    <col min="18" max="19" width="9.42578125" bestFit="1" customWidth="1"/>
    <col min="24" max="24" width="9.42578125" bestFit="1" customWidth="1"/>
  </cols>
  <sheetData>
    <row r="1" spans="1:24" ht="15">
      <c r="A1" s="120" t="s">
        <v>0</v>
      </c>
      <c r="B1" s="137" t="s">
        <v>1</v>
      </c>
      <c r="C1" s="119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6" t="s">
        <v>7</v>
      </c>
      <c r="I1" s="116" t="s">
        <v>8</v>
      </c>
      <c r="J1" s="120" t="s">
        <v>9</v>
      </c>
      <c r="K1" s="120"/>
      <c r="L1" s="120"/>
      <c r="M1" s="120"/>
      <c r="N1" s="120"/>
      <c r="O1" s="120"/>
      <c r="P1" s="120"/>
      <c r="Q1" s="120"/>
      <c r="R1" s="121" t="s">
        <v>10</v>
      </c>
      <c r="S1" s="122" t="s">
        <v>11</v>
      </c>
      <c r="T1" s="113" t="s">
        <v>12</v>
      </c>
      <c r="U1" s="115" t="s">
        <v>13</v>
      </c>
      <c r="V1" s="115"/>
      <c r="W1" s="115"/>
      <c r="X1" s="116" t="s">
        <v>14</v>
      </c>
    </row>
    <row r="2" spans="1:24" ht="15">
      <c r="A2" s="120"/>
      <c r="B2" s="138"/>
      <c r="C2" s="120"/>
      <c r="D2" s="119"/>
      <c r="E2" s="119"/>
      <c r="F2" s="119"/>
      <c r="G2" s="120"/>
      <c r="H2" s="116"/>
      <c r="I2" s="116"/>
      <c r="J2" s="2" t="s">
        <v>15</v>
      </c>
      <c r="K2" s="3" t="s">
        <v>16</v>
      </c>
      <c r="L2" s="3" t="s">
        <v>17</v>
      </c>
      <c r="M2" s="4" t="s">
        <v>18</v>
      </c>
      <c r="N2" s="5" t="s">
        <v>19</v>
      </c>
      <c r="O2" s="4" t="s">
        <v>20</v>
      </c>
      <c r="P2" s="4" t="s">
        <v>21</v>
      </c>
      <c r="Q2" s="4">
        <v>45</v>
      </c>
      <c r="R2" s="121"/>
      <c r="S2" s="122"/>
      <c r="T2" s="114"/>
      <c r="U2" s="1" t="s">
        <v>22</v>
      </c>
      <c r="V2" s="1" t="s">
        <v>23</v>
      </c>
      <c r="W2" s="1" t="s">
        <v>24</v>
      </c>
      <c r="X2" s="117"/>
    </row>
    <row r="3" spans="1:24" ht="15">
      <c r="A3" s="6">
        <v>1</v>
      </c>
      <c r="B3" s="62" t="s">
        <v>61</v>
      </c>
      <c r="C3" s="63" t="s">
        <v>26</v>
      </c>
      <c r="D3" s="63" t="s">
        <v>189</v>
      </c>
      <c r="E3" s="64">
        <v>45933</v>
      </c>
      <c r="F3" s="64">
        <v>45977</v>
      </c>
      <c r="G3" s="62" t="s">
        <v>123</v>
      </c>
      <c r="H3" s="65" t="s">
        <v>235</v>
      </c>
      <c r="I3" s="66"/>
      <c r="J3" s="32"/>
      <c r="K3" s="33"/>
      <c r="L3" s="33"/>
      <c r="M3" s="63"/>
      <c r="N3" s="63"/>
      <c r="O3" s="63"/>
      <c r="P3" s="63">
        <v>1</v>
      </c>
      <c r="Q3" s="36"/>
      <c r="R3" s="67">
        <v>3296.3779999999997</v>
      </c>
      <c r="S3" s="67">
        <v>3585</v>
      </c>
      <c r="T3" s="68">
        <v>65</v>
      </c>
      <c r="U3" s="69"/>
      <c r="V3" s="70">
        <v>100</v>
      </c>
      <c r="W3" s="71">
        <v>11</v>
      </c>
      <c r="X3" s="72">
        <v>288.6220000000003</v>
      </c>
    </row>
    <row r="4" spans="1:24" ht="15">
      <c r="A4" s="6">
        <v>2</v>
      </c>
      <c r="B4" s="62" t="s">
        <v>236</v>
      </c>
      <c r="C4" s="63" t="s">
        <v>34</v>
      </c>
      <c r="D4" s="63" t="s">
        <v>35</v>
      </c>
      <c r="E4" s="64">
        <v>45935</v>
      </c>
      <c r="F4" s="64">
        <v>45968</v>
      </c>
      <c r="G4" s="62" t="s">
        <v>127</v>
      </c>
      <c r="H4" s="65" t="s">
        <v>237</v>
      </c>
      <c r="I4" s="66"/>
      <c r="J4" s="32"/>
      <c r="K4" s="33"/>
      <c r="L4" s="33"/>
      <c r="M4" s="63">
        <v>1</v>
      </c>
      <c r="N4" s="63"/>
      <c r="O4" s="63"/>
      <c r="P4" s="73"/>
      <c r="Q4" s="36"/>
      <c r="R4" s="67">
        <v>2089.1280000000002</v>
      </c>
      <c r="S4" s="67">
        <v>2288</v>
      </c>
      <c r="T4" s="68">
        <v>45</v>
      </c>
      <c r="U4" s="69"/>
      <c r="V4" s="70">
        <v>30</v>
      </c>
      <c r="W4" s="71">
        <v>3.33</v>
      </c>
      <c r="X4" s="72">
        <v>198.87199999999984</v>
      </c>
    </row>
    <row r="5" spans="1:24" ht="15">
      <c r="A5" s="6">
        <v>3</v>
      </c>
      <c r="B5" s="62" t="s">
        <v>57</v>
      </c>
      <c r="C5" s="63" t="s">
        <v>26</v>
      </c>
      <c r="D5" s="63" t="s">
        <v>208</v>
      </c>
      <c r="E5" s="64">
        <v>45941</v>
      </c>
      <c r="F5" s="64">
        <v>45986</v>
      </c>
      <c r="G5" s="62" t="s">
        <v>41</v>
      </c>
      <c r="H5" s="65" t="s">
        <v>238</v>
      </c>
      <c r="I5" s="66"/>
      <c r="J5" s="32"/>
      <c r="K5" s="33"/>
      <c r="L5" s="33"/>
      <c r="M5" s="63"/>
      <c r="N5" s="63"/>
      <c r="O5" s="63">
        <v>1</v>
      </c>
      <c r="P5" s="73"/>
      <c r="Q5" s="36"/>
      <c r="R5" s="67">
        <v>2694.7809999999999</v>
      </c>
      <c r="S5" s="67">
        <v>2766.0160000000001</v>
      </c>
      <c r="T5" s="68">
        <v>45</v>
      </c>
      <c r="U5" s="69"/>
      <c r="V5" s="70">
        <v>20</v>
      </c>
      <c r="W5" s="71">
        <v>10</v>
      </c>
      <c r="X5" s="72">
        <v>71.235000000000127</v>
      </c>
    </row>
    <row r="6" spans="1:24" ht="15">
      <c r="A6" s="6">
        <v>4</v>
      </c>
      <c r="B6" s="62" t="s">
        <v>61</v>
      </c>
      <c r="C6" s="63" t="s">
        <v>26</v>
      </c>
      <c r="D6" s="63" t="s">
        <v>159</v>
      </c>
      <c r="E6" s="64">
        <v>45945</v>
      </c>
      <c r="F6" s="64">
        <v>45982</v>
      </c>
      <c r="G6" s="62" t="s">
        <v>123</v>
      </c>
      <c r="H6" s="65" t="s">
        <v>239</v>
      </c>
      <c r="I6" s="66"/>
      <c r="J6" s="32"/>
      <c r="K6" s="33"/>
      <c r="L6" s="33"/>
      <c r="M6" s="63"/>
      <c r="N6" s="63"/>
      <c r="O6" s="63"/>
      <c r="P6" s="63">
        <v>1</v>
      </c>
      <c r="Q6" s="36"/>
      <c r="R6" s="67">
        <v>4680.7389999999996</v>
      </c>
      <c r="S6" s="67">
        <v>4845</v>
      </c>
      <c r="T6" s="68">
        <v>65</v>
      </c>
      <c r="U6" s="69"/>
      <c r="V6" s="70">
        <v>100</v>
      </c>
      <c r="W6" s="71">
        <v>11</v>
      </c>
      <c r="X6" s="72">
        <v>164.26100000000042</v>
      </c>
    </row>
    <row r="7" spans="1:24" ht="15">
      <c r="A7" s="6">
        <v>5</v>
      </c>
      <c r="B7" s="62" t="s">
        <v>53</v>
      </c>
      <c r="C7" s="63" t="s">
        <v>34</v>
      </c>
      <c r="D7" s="63" t="s">
        <v>240</v>
      </c>
      <c r="E7" s="64">
        <v>45950</v>
      </c>
      <c r="F7" s="64">
        <v>45984</v>
      </c>
      <c r="G7" s="62" t="s">
        <v>50</v>
      </c>
      <c r="H7" s="65" t="s">
        <v>241</v>
      </c>
      <c r="I7" s="66"/>
      <c r="J7" s="32"/>
      <c r="K7" s="33"/>
      <c r="L7" s="33"/>
      <c r="M7" s="63">
        <v>2</v>
      </c>
      <c r="N7" s="63"/>
      <c r="O7" s="63"/>
      <c r="P7" s="73"/>
      <c r="Q7" s="36"/>
      <c r="R7" s="67">
        <v>6754.1419999999998</v>
      </c>
      <c r="S7" s="67">
        <v>6905</v>
      </c>
      <c r="T7" s="68">
        <v>45</v>
      </c>
      <c r="U7" s="69"/>
      <c r="V7" s="70">
        <v>50</v>
      </c>
      <c r="W7" s="71">
        <v>11.538</v>
      </c>
      <c r="X7" s="72">
        <v>150.85800000000017</v>
      </c>
    </row>
    <row r="8" spans="1:24" ht="15">
      <c r="A8" s="6">
        <v>6</v>
      </c>
      <c r="B8" s="62" t="s">
        <v>53</v>
      </c>
      <c r="C8" s="63" t="s">
        <v>34</v>
      </c>
      <c r="D8" s="63" t="s">
        <v>240</v>
      </c>
      <c r="E8" s="64">
        <v>45950</v>
      </c>
      <c r="F8" s="64">
        <v>45984</v>
      </c>
      <c r="G8" s="62" t="s">
        <v>50</v>
      </c>
      <c r="H8" s="65" t="s">
        <v>242</v>
      </c>
      <c r="I8" s="66"/>
      <c r="J8" s="32"/>
      <c r="K8" s="33"/>
      <c r="L8" s="33"/>
      <c r="M8" s="63">
        <v>2</v>
      </c>
      <c r="N8" s="63"/>
      <c r="O8" s="63"/>
      <c r="P8" s="73"/>
      <c r="Q8" s="36"/>
      <c r="R8" s="67">
        <v>6594.1419999999998</v>
      </c>
      <c r="S8" s="67">
        <v>6905</v>
      </c>
      <c r="T8" s="68">
        <v>45</v>
      </c>
      <c r="U8" s="69"/>
      <c r="V8" s="70">
        <v>50</v>
      </c>
      <c r="W8" s="71">
        <v>11.538</v>
      </c>
      <c r="X8" s="72">
        <v>310.85800000000017</v>
      </c>
    </row>
    <row r="9" spans="1:24" ht="15">
      <c r="A9" s="6">
        <v>7</v>
      </c>
      <c r="B9" s="62" t="s">
        <v>57</v>
      </c>
      <c r="C9" s="63" t="s">
        <v>26</v>
      </c>
      <c r="D9" s="63" t="s">
        <v>35</v>
      </c>
      <c r="E9" s="64">
        <v>45953</v>
      </c>
      <c r="F9" s="64">
        <v>46008</v>
      </c>
      <c r="G9" s="62" t="s">
        <v>96</v>
      </c>
      <c r="H9" s="65" t="s">
        <v>243</v>
      </c>
      <c r="I9" s="66"/>
      <c r="J9" s="32"/>
      <c r="K9" s="33"/>
      <c r="L9" s="33"/>
      <c r="M9" s="63"/>
      <c r="N9" s="63"/>
      <c r="O9" s="63">
        <v>1</v>
      </c>
      <c r="P9" s="73"/>
      <c r="Q9" s="36"/>
      <c r="R9" s="67">
        <v>2772.5570000000002</v>
      </c>
      <c r="S9" s="67">
        <v>3175</v>
      </c>
      <c r="T9" s="68">
        <v>45</v>
      </c>
      <c r="U9" s="69"/>
      <c r="V9" s="70">
        <v>20</v>
      </c>
      <c r="W9" s="71">
        <v>3.3</v>
      </c>
      <c r="X9" s="72">
        <v>402.44299999999976</v>
      </c>
    </row>
    <row r="10" spans="1:24" ht="15">
      <c r="A10" s="6">
        <v>8</v>
      </c>
      <c r="B10" s="62" t="s">
        <v>25</v>
      </c>
      <c r="C10" s="63" t="s">
        <v>26</v>
      </c>
      <c r="D10" s="63" t="s">
        <v>27</v>
      </c>
      <c r="E10" s="64">
        <v>45958</v>
      </c>
      <c r="F10" s="64">
        <v>45977</v>
      </c>
      <c r="G10" s="62" t="s">
        <v>28</v>
      </c>
      <c r="H10" s="65" t="s">
        <v>244</v>
      </c>
      <c r="I10" s="66"/>
      <c r="J10" s="32"/>
      <c r="K10" s="33"/>
      <c r="L10" s="33"/>
      <c r="M10" s="63"/>
      <c r="N10" s="63"/>
      <c r="O10" s="63">
        <v>1</v>
      </c>
      <c r="P10" s="73"/>
      <c r="Q10" s="36"/>
      <c r="R10" s="67">
        <v>2158.75</v>
      </c>
      <c r="S10" s="67">
        <v>2225</v>
      </c>
      <c r="T10" s="68">
        <v>65</v>
      </c>
      <c r="U10" s="69"/>
      <c r="V10" s="70"/>
      <c r="W10" s="71"/>
      <c r="X10" s="72">
        <v>66.25</v>
      </c>
    </row>
    <row r="11" spans="1:24" ht="15">
      <c r="A11" s="6">
        <v>9</v>
      </c>
      <c r="B11" s="62" t="s">
        <v>25</v>
      </c>
      <c r="C11" s="63" t="s">
        <v>26</v>
      </c>
      <c r="D11" s="63" t="s">
        <v>27</v>
      </c>
      <c r="E11" s="64">
        <v>45958</v>
      </c>
      <c r="F11" s="64">
        <v>45977</v>
      </c>
      <c r="G11" s="62" t="s">
        <v>28</v>
      </c>
      <c r="H11" s="65" t="s">
        <v>245</v>
      </c>
      <c r="I11" s="66"/>
      <c r="J11" s="32"/>
      <c r="K11" s="33"/>
      <c r="L11" s="33"/>
      <c r="M11" s="63"/>
      <c r="N11" s="63"/>
      <c r="O11" s="63">
        <v>1</v>
      </c>
      <c r="P11" s="73"/>
      <c r="Q11" s="36"/>
      <c r="R11" s="67">
        <v>2158.75</v>
      </c>
      <c r="S11" s="67">
        <v>2225</v>
      </c>
      <c r="T11" s="68">
        <v>65</v>
      </c>
      <c r="U11" s="69"/>
      <c r="V11" s="70"/>
      <c r="W11" s="71"/>
      <c r="X11" s="72">
        <v>66.25</v>
      </c>
    </row>
    <row r="12" spans="1:24" ht="15">
      <c r="A12" s="6">
        <v>10</v>
      </c>
      <c r="B12" s="62" t="s">
        <v>236</v>
      </c>
      <c r="C12" s="63" t="s">
        <v>34</v>
      </c>
      <c r="D12" s="63" t="s">
        <v>232</v>
      </c>
      <c r="E12" s="64">
        <v>45960</v>
      </c>
      <c r="F12" s="64">
        <v>45993</v>
      </c>
      <c r="G12" s="62" t="s">
        <v>50</v>
      </c>
      <c r="H12" s="65" t="s">
        <v>246</v>
      </c>
      <c r="I12" s="66"/>
      <c r="J12" s="32"/>
      <c r="K12" s="33"/>
      <c r="L12" s="33"/>
      <c r="M12" s="63"/>
      <c r="N12" s="63"/>
      <c r="O12" s="63">
        <v>1</v>
      </c>
      <c r="P12" s="73"/>
      <c r="Q12" s="36"/>
      <c r="R12" s="67">
        <v>4825</v>
      </c>
      <c r="S12" s="67">
        <v>4975</v>
      </c>
      <c r="T12" s="68">
        <v>45</v>
      </c>
      <c r="U12" s="69"/>
      <c r="V12" s="70">
        <v>50</v>
      </c>
      <c r="W12" s="71">
        <v>11.538</v>
      </c>
      <c r="X12" s="72">
        <v>150</v>
      </c>
    </row>
    <row r="13" spans="1:24" ht="15">
      <c r="A13" s="118"/>
      <c r="B13" s="118"/>
      <c r="C13" s="118"/>
      <c r="D13" s="23"/>
      <c r="E13" s="24"/>
      <c r="F13" s="24"/>
      <c r="G13" s="24"/>
      <c r="H13" s="24"/>
      <c r="I13" s="24"/>
      <c r="J13" s="25" t="s">
        <v>74</v>
      </c>
      <c r="K13" s="25" t="s">
        <v>74</v>
      </c>
      <c r="L13" s="25">
        <f>SUM(L3:L12)</f>
        <v>0</v>
      </c>
      <c r="M13" s="25">
        <f>SUM(M3:M12)</f>
        <v>5</v>
      </c>
      <c r="N13" s="25">
        <f>SUM(N3:N12)</f>
        <v>0</v>
      </c>
      <c r="O13" s="25">
        <f>SUM(O3:O12)</f>
        <v>5</v>
      </c>
      <c r="P13" s="25">
        <f>SUM(P3:P12)</f>
        <v>2</v>
      </c>
      <c r="Q13" s="25" t="s">
        <v>74</v>
      </c>
      <c r="R13" s="25">
        <f t="shared" ref="R13:X13" si="0">SUM(R3:R12)</f>
        <v>38024.366999999998</v>
      </c>
      <c r="S13" s="25">
        <f t="shared" si="0"/>
        <v>39894.016000000003</v>
      </c>
      <c r="T13" s="25">
        <f t="shared" si="0"/>
        <v>530</v>
      </c>
      <c r="U13" s="25">
        <f t="shared" si="0"/>
        <v>0</v>
      </c>
      <c r="V13" s="25">
        <f t="shared" si="0"/>
        <v>420</v>
      </c>
      <c r="W13" s="25">
        <f t="shared" si="0"/>
        <v>73.243999999999986</v>
      </c>
      <c r="X13" s="25">
        <f t="shared" si="0"/>
        <v>1869.6490000000008</v>
      </c>
    </row>
  </sheetData>
  <mergeCells count="16">
    <mergeCell ref="T1:T2"/>
    <mergeCell ref="U1:W1"/>
    <mergeCell ref="X1:X2"/>
    <mergeCell ref="A13:C13"/>
    <mergeCell ref="G1:G2"/>
    <mergeCell ref="H1:H2"/>
    <mergeCell ref="I1:I2"/>
    <mergeCell ref="J1:Q1"/>
    <mergeCell ref="R1:R2"/>
    <mergeCell ref="S1:S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1929-450B-408B-B8A8-0DA37E6F7BF2}">
  <dimension ref="A1:X20"/>
  <sheetViews>
    <sheetView zoomScale="85" zoomScaleNormal="85" workbookViewId="0">
      <selection activeCell="A17" sqref="A17"/>
    </sheetView>
  </sheetViews>
  <sheetFormatPr defaultRowHeight="12.75"/>
  <cols>
    <col min="2" max="2" width="23.140625" bestFit="1" customWidth="1"/>
    <col min="3" max="3" width="12.28515625" customWidth="1"/>
    <col min="4" max="4" width="22.5703125" bestFit="1" customWidth="1"/>
    <col min="5" max="5" width="7.28515625" bestFit="1" customWidth="1"/>
    <col min="6" max="6" width="7.140625" bestFit="1" customWidth="1"/>
    <col min="7" max="7" width="10.5703125" bestFit="1" customWidth="1"/>
    <col min="8" max="8" width="14.7109375" bestFit="1" customWidth="1"/>
    <col min="9" max="9" width="12" bestFit="1" customWidth="1"/>
    <col min="18" max="19" width="9.5703125" bestFit="1" customWidth="1"/>
    <col min="24" max="24" width="9.7109375" bestFit="1" customWidth="1"/>
  </cols>
  <sheetData>
    <row r="1" spans="1:24" ht="15">
      <c r="A1" s="120" t="s">
        <v>0</v>
      </c>
      <c r="B1" s="137" t="s">
        <v>1</v>
      </c>
      <c r="C1" s="119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6" t="s">
        <v>7</v>
      </c>
      <c r="I1" s="116" t="s">
        <v>8</v>
      </c>
      <c r="J1" s="120" t="s">
        <v>9</v>
      </c>
      <c r="K1" s="120"/>
      <c r="L1" s="120"/>
      <c r="M1" s="120"/>
      <c r="N1" s="120"/>
      <c r="O1" s="120"/>
      <c r="P1" s="120"/>
      <c r="Q1" s="120"/>
      <c r="R1" s="121" t="s">
        <v>10</v>
      </c>
      <c r="S1" s="122" t="s">
        <v>11</v>
      </c>
      <c r="T1" s="113" t="s">
        <v>12</v>
      </c>
      <c r="U1" s="115" t="s">
        <v>13</v>
      </c>
      <c r="V1" s="115"/>
      <c r="W1" s="115"/>
      <c r="X1" s="116" t="s">
        <v>14</v>
      </c>
    </row>
    <row r="2" spans="1:24" ht="15">
      <c r="A2" s="120"/>
      <c r="B2" s="138"/>
      <c r="C2" s="120"/>
      <c r="D2" s="119"/>
      <c r="E2" s="119"/>
      <c r="F2" s="119"/>
      <c r="G2" s="120"/>
      <c r="H2" s="116"/>
      <c r="I2" s="116"/>
      <c r="J2" s="2" t="s">
        <v>15</v>
      </c>
      <c r="K2" s="3" t="s">
        <v>16</v>
      </c>
      <c r="L2" s="3" t="s">
        <v>17</v>
      </c>
      <c r="M2" s="4" t="s">
        <v>18</v>
      </c>
      <c r="N2" s="5" t="s">
        <v>19</v>
      </c>
      <c r="O2" s="4" t="s">
        <v>20</v>
      </c>
      <c r="P2" s="4" t="s">
        <v>21</v>
      </c>
      <c r="Q2" s="4">
        <v>45</v>
      </c>
      <c r="R2" s="121"/>
      <c r="S2" s="122"/>
      <c r="T2" s="114"/>
      <c r="U2" s="1" t="s">
        <v>22</v>
      </c>
      <c r="V2" s="1" t="s">
        <v>23</v>
      </c>
      <c r="W2" s="1" t="s">
        <v>24</v>
      </c>
      <c r="X2" s="117"/>
    </row>
    <row r="3" spans="1:24" ht="15">
      <c r="A3" s="6">
        <v>1</v>
      </c>
      <c r="B3" s="74" t="s">
        <v>247</v>
      </c>
      <c r="C3" s="75" t="s">
        <v>34</v>
      </c>
      <c r="D3" s="75" t="s">
        <v>102</v>
      </c>
      <c r="E3" s="76">
        <v>45967</v>
      </c>
      <c r="F3" s="76">
        <v>45992</v>
      </c>
      <c r="G3" s="75" t="s">
        <v>111</v>
      </c>
      <c r="H3" s="77" t="s">
        <v>248</v>
      </c>
      <c r="I3" s="75" t="s">
        <v>249</v>
      </c>
      <c r="J3" s="78"/>
      <c r="K3" s="33"/>
      <c r="L3" s="33"/>
      <c r="M3" s="75"/>
      <c r="N3" s="63"/>
      <c r="O3" s="75">
        <v>1</v>
      </c>
      <c r="P3" s="63"/>
      <c r="Q3" s="36"/>
      <c r="R3" s="79">
        <v>2244.7070000000003</v>
      </c>
      <c r="S3" s="79">
        <v>2614</v>
      </c>
      <c r="T3" s="80"/>
      <c r="U3" s="69"/>
      <c r="V3" s="81">
        <v>50</v>
      </c>
      <c r="W3" s="81">
        <v>26.922999999999998</v>
      </c>
      <c r="X3" s="79">
        <v>369.29299999999967</v>
      </c>
    </row>
    <row r="4" spans="1:24" ht="15">
      <c r="A4" s="6">
        <v>2</v>
      </c>
      <c r="B4" s="82" t="s">
        <v>250</v>
      </c>
      <c r="C4" s="83" t="s">
        <v>26</v>
      </c>
      <c r="D4" s="83" t="s">
        <v>251</v>
      </c>
      <c r="E4" s="84">
        <v>45969</v>
      </c>
      <c r="F4" s="84">
        <v>45994</v>
      </c>
      <c r="G4" s="83" t="s">
        <v>252</v>
      </c>
      <c r="H4" s="85" t="s">
        <v>253</v>
      </c>
      <c r="I4" s="83" t="s">
        <v>254</v>
      </c>
      <c r="J4" s="78"/>
      <c r="K4" s="33"/>
      <c r="L4" s="33"/>
      <c r="M4" s="83"/>
      <c r="N4" s="86"/>
      <c r="O4" s="83"/>
      <c r="P4" s="83">
        <v>1</v>
      </c>
      <c r="Q4" s="36"/>
      <c r="R4" s="87">
        <v>6657.9030000000002</v>
      </c>
      <c r="S4" s="87">
        <v>6577</v>
      </c>
      <c r="T4" s="80"/>
      <c r="U4" s="69"/>
      <c r="V4" s="81"/>
      <c r="W4" s="81"/>
      <c r="X4" s="88">
        <v>-80.903000000000247</v>
      </c>
    </row>
    <row r="5" spans="1:24" ht="15">
      <c r="A5" s="6">
        <v>3</v>
      </c>
      <c r="B5" s="74" t="s">
        <v>61</v>
      </c>
      <c r="C5" s="75" t="s">
        <v>255</v>
      </c>
      <c r="D5" s="75" t="s">
        <v>256</v>
      </c>
      <c r="E5" s="76">
        <v>45973</v>
      </c>
      <c r="F5" s="76">
        <v>46022</v>
      </c>
      <c r="G5" s="75" t="s">
        <v>123</v>
      </c>
      <c r="H5" s="77" t="s">
        <v>257</v>
      </c>
      <c r="I5" s="75" t="s">
        <v>258</v>
      </c>
      <c r="J5" s="78"/>
      <c r="K5" s="33"/>
      <c r="L5" s="33"/>
      <c r="M5" s="75"/>
      <c r="N5" s="63"/>
      <c r="O5" s="75"/>
      <c r="P5" s="75">
        <v>1</v>
      </c>
      <c r="Q5" s="36"/>
      <c r="R5" s="79">
        <v>2432.846</v>
      </c>
      <c r="S5" s="79">
        <v>2605</v>
      </c>
      <c r="T5" s="80"/>
      <c r="U5" s="69"/>
      <c r="V5" s="81">
        <v>100</v>
      </c>
      <c r="W5" s="81">
        <v>53.845999999999997</v>
      </c>
      <c r="X5" s="79">
        <v>172.154</v>
      </c>
    </row>
    <row r="6" spans="1:24" ht="15">
      <c r="A6" s="6">
        <v>4</v>
      </c>
      <c r="B6" s="82" t="s">
        <v>259</v>
      </c>
      <c r="C6" s="83" t="s">
        <v>26</v>
      </c>
      <c r="D6" s="83" t="s">
        <v>27</v>
      </c>
      <c r="E6" s="84">
        <v>45975</v>
      </c>
      <c r="F6" s="84">
        <v>45992</v>
      </c>
      <c r="G6" s="83" t="s">
        <v>28</v>
      </c>
      <c r="H6" s="85" t="s">
        <v>260</v>
      </c>
      <c r="I6" s="83" t="s">
        <v>261</v>
      </c>
      <c r="J6" s="78"/>
      <c r="K6" s="33"/>
      <c r="L6" s="33"/>
      <c r="M6" s="83"/>
      <c r="N6" s="86"/>
      <c r="O6" s="83">
        <v>1</v>
      </c>
      <c r="P6" s="36"/>
      <c r="Q6" s="36"/>
      <c r="R6" s="87">
        <v>2273.4270000000001</v>
      </c>
      <c r="S6" s="87">
        <v>2345</v>
      </c>
      <c r="T6" s="80"/>
      <c r="U6" s="89">
        <v>9</v>
      </c>
      <c r="V6" s="89"/>
      <c r="W6" s="81">
        <v>1</v>
      </c>
      <c r="X6" s="87">
        <v>71.572999999999865</v>
      </c>
    </row>
    <row r="7" spans="1:24" ht="15">
      <c r="A7" s="6">
        <v>5</v>
      </c>
      <c r="B7" s="74" t="s">
        <v>259</v>
      </c>
      <c r="C7" s="75" t="s">
        <v>26</v>
      </c>
      <c r="D7" s="75" t="s">
        <v>27</v>
      </c>
      <c r="E7" s="76">
        <v>45975</v>
      </c>
      <c r="F7" s="76">
        <v>45992</v>
      </c>
      <c r="G7" s="75" t="s">
        <v>28</v>
      </c>
      <c r="H7" s="77" t="s">
        <v>262</v>
      </c>
      <c r="I7" s="75" t="s">
        <v>263</v>
      </c>
      <c r="J7" s="78"/>
      <c r="K7" s="33"/>
      <c r="L7" s="33"/>
      <c r="M7" s="75"/>
      <c r="N7" s="63"/>
      <c r="O7" s="75">
        <v>1</v>
      </c>
      <c r="P7" s="36"/>
      <c r="Q7" s="36"/>
      <c r="R7" s="79">
        <v>2273.4270000000001</v>
      </c>
      <c r="S7" s="79">
        <v>2345</v>
      </c>
      <c r="T7" s="80"/>
      <c r="U7" s="89">
        <v>9</v>
      </c>
      <c r="V7" s="89"/>
      <c r="W7" s="81">
        <v>1</v>
      </c>
      <c r="X7" s="79">
        <v>71.572999999999865</v>
      </c>
    </row>
    <row r="8" spans="1:24" ht="15">
      <c r="A8" s="6">
        <v>6</v>
      </c>
      <c r="B8" s="82" t="s">
        <v>259</v>
      </c>
      <c r="C8" s="83" t="s">
        <v>26</v>
      </c>
      <c r="D8" s="83" t="s">
        <v>27</v>
      </c>
      <c r="E8" s="84">
        <v>45975</v>
      </c>
      <c r="F8" s="84">
        <v>45992</v>
      </c>
      <c r="G8" s="83" t="s">
        <v>28</v>
      </c>
      <c r="H8" s="85" t="s">
        <v>264</v>
      </c>
      <c r="I8" s="83" t="s">
        <v>265</v>
      </c>
      <c r="J8" s="78"/>
      <c r="K8" s="33"/>
      <c r="L8" s="33"/>
      <c r="M8" s="83"/>
      <c r="N8" s="86"/>
      <c r="O8" s="83">
        <v>1</v>
      </c>
      <c r="P8" s="36"/>
      <c r="Q8" s="36"/>
      <c r="R8" s="87">
        <v>2273.4270000000001</v>
      </c>
      <c r="S8" s="87">
        <v>2345</v>
      </c>
      <c r="T8" s="80"/>
      <c r="U8" s="89">
        <v>9</v>
      </c>
      <c r="V8" s="89"/>
      <c r="W8" s="81">
        <v>1</v>
      </c>
      <c r="X8" s="87">
        <v>71.572999999999865</v>
      </c>
    </row>
    <row r="9" spans="1:24" ht="15">
      <c r="A9" s="6">
        <v>7</v>
      </c>
      <c r="B9" s="74" t="s">
        <v>259</v>
      </c>
      <c r="C9" s="75" t="s">
        <v>26</v>
      </c>
      <c r="D9" s="75" t="s">
        <v>27</v>
      </c>
      <c r="E9" s="76">
        <v>45975</v>
      </c>
      <c r="F9" s="76">
        <v>45992</v>
      </c>
      <c r="G9" s="75" t="s">
        <v>28</v>
      </c>
      <c r="H9" s="77" t="s">
        <v>266</v>
      </c>
      <c r="I9" s="75" t="s">
        <v>267</v>
      </c>
      <c r="J9" s="78"/>
      <c r="K9" s="33"/>
      <c r="L9" s="33"/>
      <c r="M9" s="75"/>
      <c r="N9" s="63"/>
      <c r="O9" s="75">
        <v>1</v>
      </c>
      <c r="P9" s="36"/>
      <c r="Q9" s="36"/>
      <c r="R9" s="79">
        <v>2273.4270000000001</v>
      </c>
      <c r="S9" s="79">
        <v>2345</v>
      </c>
      <c r="T9" s="80"/>
      <c r="U9" s="89">
        <v>9</v>
      </c>
      <c r="V9" s="89"/>
      <c r="W9" s="81">
        <v>1</v>
      </c>
      <c r="X9" s="79">
        <v>71.572999999999865</v>
      </c>
    </row>
    <row r="10" spans="1:24" ht="15">
      <c r="A10" s="6">
        <v>8</v>
      </c>
      <c r="B10" s="82" t="s">
        <v>259</v>
      </c>
      <c r="C10" s="83" t="s">
        <v>26</v>
      </c>
      <c r="D10" s="83" t="s">
        <v>27</v>
      </c>
      <c r="E10" s="84">
        <v>45975</v>
      </c>
      <c r="F10" s="84">
        <v>45992</v>
      </c>
      <c r="G10" s="83" t="s">
        <v>28</v>
      </c>
      <c r="H10" s="85" t="s">
        <v>268</v>
      </c>
      <c r="I10" s="83" t="s">
        <v>269</v>
      </c>
      <c r="J10" s="78"/>
      <c r="K10" s="33"/>
      <c r="L10" s="33"/>
      <c r="M10" s="83"/>
      <c r="N10" s="86"/>
      <c r="O10" s="83">
        <v>1</v>
      </c>
      <c r="P10" s="36"/>
      <c r="Q10" s="36"/>
      <c r="R10" s="87">
        <v>2273.4270000000001</v>
      </c>
      <c r="S10" s="87">
        <v>2345</v>
      </c>
      <c r="T10" s="80"/>
      <c r="U10" s="89">
        <v>9</v>
      </c>
      <c r="V10" s="89"/>
      <c r="W10" s="81">
        <v>1</v>
      </c>
      <c r="X10" s="87">
        <v>71.572999999999865</v>
      </c>
    </row>
    <row r="11" spans="1:24" ht="15">
      <c r="A11" s="6">
        <v>9</v>
      </c>
      <c r="B11" s="74" t="s">
        <v>270</v>
      </c>
      <c r="C11" s="75" t="s">
        <v>34</v>
      </c>
      <c r="D11" s="75" t="s">
        <v>240</v>
      </c>
      <c r="E11" s="76">
        <v>45977</v>
      </c>
      <c r="F11" s="76">
        <v>46004</v>
      </c>
      <c r="G11" s="75" t="s">
        <v>96</v>
      </c>
      <c r="H11" s="77" t="s">
        <v>271</v>
      </c>
      <c r="I11" s="75" t="s">
        <v>272</v>
      </c>
      <c r="J11" s="78"/>
      <c r="K11" s="33"/>
      <c r="L11" s="33"/>
      <c r="M11" s="75">
        <v>2</v>
      </c>
      <c r="N11" s="63"/>
      <c r="O11" s="75"/>
      <c r="P11" s="36"/>
      <c r="Q11" s="36"/>
      <c r="R11" s="79">
        <v>6156.1320000000005</v>
      </c>
      <c r="S11" s="79">
        <v>7645</v>
      </c>
      <c r="T11" s="80"/>
      <c r="U11" s="69"/>
      <c r="V11" s="81">
        <v>30</v>
      </c>
      <c r="W11" s="81">
        <v>16.154</v>
      </c>
      <c r="X11" s="79">
        <v>1488.8679999999995</v>
      </c>
    </row>
    <row r="12" spans="1:24" ht="15">
      <c r="A12" s="6">
        <v>10</v>
      </c>
      <c r="B12" s="82" t="s">
        <v>270</v>
      </c>
      <c r="C12" s="83" t="s">
        <v>34</v>
      </c>
      <c r="D12" s="83" t="s">
        <v>240</v>
      </c>
      <c r="E12" s="84">
        <v>45977</v>
      </c>
      <c r="F12" s="84">
        <v>46022</v>
      </c>
      <c r="G12" s="83" t="s">
        <v>96</v>
      </c>
      <c r="H12" s="85" t="s">
        <v>273</v>
      </c>
      <c r="I12" s="83" t="s">
        <v>274</v>
      </c>
      <c r="J12" s="78"/>
      <c r="K12" s="33"/>
      <c r="L12" s="33"/>
      <c r="M12" s="83">
        <v>2</v>
      </c>
      <c r="N12" s="86"/>
      <c r="O12" s="83"/>
      <c r="P12" s="36"/>
      <c r="Q12" s="36"/>
      <c r="R12" s="87">
        <v>6156.1320000000005</v>
      </c>
      <c r="S12" s="87">
        <v>7645</v>
      </c>
      <c r="T12" s="80"/>
      <c r="U12" s="69"/>
      <c r="V12" s="81">
        <v>30</v>
      </c>
      <c r="W12" s="81">
        <v>16.154</v>
      </c>
      <c r="X12" s="87">
        <v>1488.8679999999995</v>
      </c>
    </row>
    <row r="13" spans="1:24" ht="15">
      <c r="A13" s="6">
        <v>11</v>
      </c>
      <c r="B13" s="74" t="s">
        <v>61</v>
      </c>
      <c r="C13" s="75" t="s">
        <v>275</v>
      </c>
      <c r="D13" s="75" t="s">
        <v>208</v>
      </c>
      <c r="E13" s="76">
        <v>45978</v>
      </c>
      <c r="F13" s="76">
        <v>46014</v>
      </c>
      <c r="G13" s="75" t="s">
        <v>276</v>
      </c>
      <c r="H13" s="77" t="s">
        <v>277</v>
      </c>
      <c r="I13" s="75" t="s">
        <v>278</v>
      </c>
      <c r="J13" s="78"/>
      <c r="K13" s="33"/>
      <c r="L13" s="33"/>
      <c r="M13" s="75"/>
      <c r="N13" s="63"/>
      <c r="O13" s="75"/>
      <c r="P13" s="75">
        <v>1</v>
      </c>
      <c r="Q13" s="36"/>
      <c r="R13" s="79">
        <v>3170.7020000000002</v>
      </c>
      <c r="S13" s="79">
        <v>3725</v>
      </c>
      <c r="T13" s="80"/>
      <c r="U13" s="69"/>
      <c r="V13" s="81">
        <v>100</v>
      </c>
      <c r="W13" s="81">
        <v>53.845999999999997</v>
      </c>
      <c r="X13" s="79">
        <v>554.29799999999977</v>
      </c>
    </row>
    <row r="14" spans="1:24" ht="15">
      <c r="A14" s="6">
        <v>12</v>
      </c>
      <c r="B14" s="82" t="s">
        <v>61</v>
      </c>
      <c r="C14" s="83" t="s">
        <v>255</v>
      </c>
      <c r="D14" s="83" t="s">
        <v>159</v>
      </c>
      <c r="E14" s="84">
        <v>45978</v>
      </c>
      <c r="F14" s="84">
        <v>46017</v>
      </c>
      <c r="G14" s="83" t="s">
        <v>123</v>
      </c>
      <c r="H14" s="85" t="s">
        <v>279</v>
      </c>
      <c r="I14" s="83" t="s">
        <v>280</v>
      </c>
      <c r="J14" s="78"/>
      <c r="K14" s="33"/>
      <c r="L14" s="33"/>
      <c r="M14" s="83"/>
      <c r="N14" s="86"/>
      <c r="O14" s="83"/>
      <c r="P14" s="83">
        <v>1</v>
      </c>
      <c r="Q14" s="36"/>
      <c r="R14" s="87">
        <v>5033.0129999999999</v>
      </c>
      <c r="S14" s="87">
        <v>5564</v>
      </c>
      <c r="T14" s="80"/>
      <c r="U14" s="81">
        <v>58.5</v>
      </c>
      <c r="V14" s="81">
        <v>100</v>
      </c>
      <c r="W14" s="81">
        <v>11.111000000000001</v>
      </c>
      <c r="X14" s="87">
        <v>530.98700000000008</v>
      </c>
    </row>
    <row r="15" spans="1:24" ht="15">
      <c r="A15" s="6">
        <v>13</v>
      </c>
      <c r="B15" s="74" t="s">
        <v>281</v>
      </c>
      <c r="C15" s="75" t="s">
        <v>275</v>
      </c>
      <c r="D15" s="75" t="s">
        <v>102</v>
      </c>
      <c r="E15" s="76">
        <v>45982</v>
      </c>
      <c r="F15" s="76">
        <v>46006</v>
      </c>
      <c r="G15" s="75" t="s">
        <v>111</v>
      </c>
      <c r="H15" s="77" t="s">
        <v>282</v>
      </c>
      <c r="I15" s="75" t="s">
        <v>283</v>
      </c>
      <c r="J15" s="78"/>
      <c r="K15" s="33"/>
      <c r="L15" s="33"/>
      <c r="M15" s="75">
        <v>1</v>
      </c>
      <c r="N15" s="63"/>
      <c r="O15" s="75"/>
      <c r="P15" s="36"/>
      <c r="Q15" s="36"/>
      <c r="R15" s="79">
        <v>1600.0139999999999</v>
      </c>
      <c r="S15" s="79">
        <v>1743</v>
      </c>
      <c r="T15" s="80"/>
      <c r="U15" s="89"/>
      <c r="V15" s="81">
        <v>20</v>
      </c>
      <c r="W15" s="81">
        <v>10.769</v>
      </c>
      <c r="X15" s="79">
        <v>142.9860000000001</v>
      </c>
    </row>
    <row r="16" spans="1:24" ht="15">
      <c r="A16" s="6">
        <v>14</v>
      </c>
      <c r="B16" s="82" t="s">
        <v>61</v>
      </c>
      <c r="C16" s="83" t="s">
        <v>255</v>
      </c>
      <c r="D16" s="83" t="s">
        <v>284</v>
      </c>
      <c r="E16" s="84">
        <v>45984</v>
      </c>
      <c r="F16" s="84">
        <v>46001</v>
      </c>
      <c r="G16" s="83" t="s">
        <v>285</v>
      </c>
      <c r="H16" s="85" t="s">
        <v>286</v>
      </c>
      <c r="I16" s="83" t="s">
        <v>287</v>
      </c>
      <c r="J16" s="78"/>
      <c r="K16" s="33"/>
      <c r="L16" s="83">
        <v>1</v>
      </c>
      <c r="M16" s="83"/>
      <c r="N16" s="86"/>
      <c r="O16" s="83"/>
      <c r="P16" s="83"/>
      <c r="Q16" s="36"/>
      <c r="R16" s="87">
        <v>1515.405</v>
      </c>
      <c r="S16" s="87">
        <v>1690</v>
      </c>
      <c r="T16" s="80"/>
      <c r="U16" s="69"/>
      <c r="V16" s="81"/>
      <c r="W16" s="81"/>
      <c r="X16" s="87">
        <v>174.59500000000003</v>
      </c>
    </row>
    <row r="17" spans="1:24" ht="15">
      <c r="A17" s="6">
        <v>15</v>
      </c>
      <c r="B17" s="74" t="s">
        <v>259</v>
      </c>
      <c r="C17" s="75" t="s">
        <v>26</v>
      </c>
      <c r="D17" s="75" t="s">
        <v>27</v>
      </c>
      <c r="E17" s="76">
        <v>45985</v>
      </c>
      <c r="F17" s="76">
        <v>46005</v>
      </c>
      <c r="G17" s="75" t="s">
        <v>28</v>
      </c>
      <c r="H17" s="77" t="s">
        <v>288</v>
      </c>
      <c r="I17" s="75" t="s">
        <v>289</v>
      </c>
      <c r="J17" s="78"/>
      <c r="K17" s="33"/>
      <c r="L17" s="33"/>
      <c r="M17" s="75"/>
      <c r="N17" s="63"/>
      <c r="O17" s="75">
        <v>1</v>
      </c>
      <c r="P17" s="36"/>
      <c r="Q17" s="36"/>
      <c r="R17" s="79">
        <v>1874.172</v>
      </c>
      <c r="S17" s="79">
        <v>1975</v>
      </c>
      <c r="T17" s="80"/>
      <c r="U17" s="89">
        <v>9</v>
      </c>
      <c r="V17" s="89"/>
      <c r="W17" s="81">
        <v>1</v>
      </c>
      <c r="X17" s="79">
        <v>100.82799999999997</v>
      </c>
    </row>
    <row r="18" spans="1:24" ht="15">
      <c r="A18" s="6">
        <v>16</v>
      </c>
      <c r="B18" s="82" t="s">
        <v>259</v>
      </c>
      <c r="C18" s="83" t="s">
        <v>26</v>
      </c>
      <c r="D18" s="83" t="s">
        <v>27</v>
      </c>
      <c r="E18" s="84">
        <v>45985</v>
      </c>
      <c r="F18" s="84">
        <v>46005</v>
      </c>
      <c r="G18" s="83" t="s">
        <v>28</v>
      </c>
      <c r="H18" s="85" t="s">
        <v>290</v>
      </c>
      <c r="I18" s="83" t="s">
        <v>291</v>
      </c>
      <c r="J18" s="78"/>
      <c r="K18" s="33"/>
      <c r="L18" s="33"/>
      <c r="M18" s="83"/>
      <c r="N18" s="86"/>
      <c r="O18" s="83">
        <v>1</v>
      </c>
      <c r="P18" s="36"/>
      <c r="Q18" s="36"/>
      <c r="R18" s="87">
        <v>1874.172</v>
      </c>
      <c r="S18" s="87">
        <v>1975</v>
      </c>
      <c r="T18" s="80"/>
      <c r="U18" s="89">
        <v>9</v>
      </c>
      <c r="V18" s="89"/>
      <c r="W18" s="81">
        <v>1</v>
      </c>
      <c r="X18" s="87">
        <v>100.82799999999997</v>
      </c>
    </row>
    <row r="19" spans="1:24" ht="15">
      <c r="A19" s="6">
        <v>17</v>
      </c>
      <c r="B19" s="74" t="s">
        <v>236</v>
      </c>
      <c r="C19" s="75" t="s">
        <v>34</v>
      </c>
      <c r="D19" s="75" t="s">
        <v>35</v>
      </c>
      <c r="E19" s="76">
        <v>45985</v>
      </c>
      <c r="F19" s="76">
        <v>46017</v>
      </c>
      <c r="G19" s="75" t="s">
        <v>127</v>
      </c>
      <c r="H19" s="77" t="s">
        <v>292</v>
      </c>
      <c r="I19" s="75" t="s">
        <v>293</v>
      </c>
      <c r="J19" s="78"/>
      <c r="K19" s="33"/>
      <c r="L19" s="33"/>
      <c r="M19" s="75">
        <v>4</v>
      </c>
      <c r="N19" s="63"/>
      <c r="O19" s="75"/>
      <c r="P19" s="36"/>
      <c r="Q19" s="36"/>
      <c r="R19" s="79">
        <v>7695.7459999999992</v>
      </c>
      <c r="S19" s="79">
        <v>9530</v>
      </c>
      <c r="T19" s="80"/>
      <c r="U19" s="69"/>
      <c r="V19" s="81">
        <v>100</v>
      </c>
      <c r="W19" s="81">
        <v>33</v>
      </c>
      <c r="X19" s="79">
        <v>1834.2540000000008</v>
      </c>
    </row>
    <row r="20" spans="1:24" ht="15">
      <c r="A20" s="118"/>
      <c r="B20" s="118"/>
      <c r="C20" s="118"/>
      <c r="D20" s="23"/>
      <c r="E20" s="24"/>
      <c r="F20" s="24"/>
      <c r="G20" s="24"/>
      <c r="H20" s="24"/>
      <c r="I20" s="24"/>
      <c r="J20" s="25" t="s">
        <v>74</v>
      </c>
      <c r="K20" s="25" t="s">
        <v>74</v>
      </c>
      <c r="L20" s="25">
        <f>SUM(L3:L19)</f>
        <v>1</v>
      </c>
      <c r="M20" s="25">
        <f>SUM(M3:M19)</f>
        <v>9</v>
      </c>
      <c r="N20" s="25">
        <f>SUM(N3:N19)</f>
        <v>0</v>
      </c>
      <c r="O20" s="25">
        <f>SUM(O3:O19)</f>
        <v>8</v>
      </c>
      <c r="P20" s="25">
        <f>SUM(P3:P19)</f>
        <v>4</v>
      </c>
      <c r="Q20" s="25" t="s">
        <v>74</v>
      </c>
      <c r="R20" s="25">
        <f t="shared" ref="R20:X20" si="0">SUM(R3:R19)</f>
        <v>57778.078999999998</v>
      </c>
      <c r="S20" s="25">
        <f t="shared" si="0"/>
        <v>65013</v>
      </c>
      <c r="T20" s="25">
        <f t="shared" si="0"/>
        <v>0</v>
      </c>
      <c r="U20" s="25">
        <f t="shared" si="0"/>
        <v>121.5</v>
      </c>
      <c r="V20" s="25">
        <f t="shared" si="0"/>
        <v>530</v>
      </c>
      <c r="W20" s="25">
        <f t="shared" si="0"/>
        <v>228.80299999999997</v>
      </c>
      <c r="X20" s="25">
        <f t="shared" si="0"/>
        <v>7234.9209999999985</v>
      </c>
    </row>
  </sheetData>
  <mergeCells count="16">
    <mergeCell ref="T1:T2"/>
    <mergeCell ref="U1:W1"/>
    <mergeCell ref="X1:X2"/>
    <mergeCell ref="A20:C20"/>
    <mergeCell ref="G1:G2"/>
    <mergeCell ref="H1:H2"/>
    <mergeCell ref="I1:I2"/>
    <mergeCell ref="J1:Q1"/>
    <mergeCell ref="R1:R2"/>
    <mergeCell ref="S1:S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MAY 2025</vt:lpstr>
      <vt:lpstr>JUN 2025</vt:lpstr>
      <vt:lpstr>JUL 2025</vt:lpstr>
      <vt:lpstr>AUG 2025</vt:lpstr>
      <vt:lpstr>SEP 2025</vt:lpstr>
      <vt:lpstr>OCT 2025</vt:lpstr>
      <vt:lpstr>NOV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Huynh</dc:creator>
  <cp:lastModifiedBy>Nelson Huynh</cp:lastModifiedBy>
  <dcterms:created xsi:type="dcterms:W3CDTF">2025-12-07T10:51:00Z</dcterms:created>
  <dcterms:modified xsi:type="dcterms:W3CDTF">2025-12-07T12:49:35Z</dcterms:modified>
</cp:coreProperties>
</file>